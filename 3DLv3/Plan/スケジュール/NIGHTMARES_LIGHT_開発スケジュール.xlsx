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xr:revisionPtr revIDLastSave="0" documentId="13_ncr:1_{484B0AF0-F353-4E35-826A-D3B035FF1963}" xr6:coauthVersionLast="47" xr6:coauthVersionMax="47" xr10:uidLastSave="{00000000-0000-0000-0000-000000000000}"/>
  <bookViews>
    <workbookView xWindow="-108" yWindow="-108" windowWidth="23256" windowHeight="12456" xr2:uid="{00000000-000D-0000-FFFF-FFFF00000000}"/>
  </bookViews>
  <sheets>
    <sheet name="プロジェクトのスケジュール" sheetId="11" r:id="rId1"/>
    <sheet name="詳細情報" sheetId="12" r:id="rId2"/>
  </sheets>
  <definedNames>
    <definedName name="_xlnm.Print_Titles" localSheetId="0">プロジェクトのスケジュール!$4:$6</definedName>
    <definedName name="タスク_開始" localSheetId="0">プロジェクトのスケジュール!$E1</definedName>
    <definedName name="タスク_終了" localSheetId="0">プロジェクトのスケジュール!$F1</definedName>
    <definedName name="タスク_進捗状況" localSheetId="0">プロジェクトのスケジュール!$D1</definedName>
    <definedName name="プロジェクトの開始">プロジェクトのスケジュール!$E$3</definedName>
    <definedName name="今日" localSheetId="0">TODAY()</definedName>
    <definedName name="週表示">プロジェクトのスケジュール!$E$4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58" i="11" l="1"/>
  <c r="G257" i="11"/>
  <c r="G255" i="11"/>
  <c r="G254" i="11"/>
  <c r="G261" i="11"/>
  <c r="G253" i="11"/>
  <c r="G272" i="11"/>
  <c r="G271" i="11"/>
  <c r="G270" i="11"/>
  <c r="G252" i="11"/>
  <c r="G251" i="11"/>
  <c r="G248" i="11"/>
  <c r="G247" i="11"/>
  <c r="G246" i="11"/>
  <c r="G250" i="11"/>
  <c r="G249" i="11"/>
  <c r="G241" i="11"/>
  <c r="G240" i="11"/>
  <c r="G239" i="11"/>
  <c r="G238" i="11"/>
  <c r="G243" i="11"/>
  <c r="G242" i="11"/>
  <c r="G235" i="11"/>
  <c r="G234" i="11"/>
  <c r="G233" i="11"/>
  <c r="G232" i="11"/>
  <c r="G237" i="11"/>
  <c r="G236" i="11"/>
  <c r="G244" i="11"/>
  <c r="G245" i="11"/>
  <c r="G225" i="11"/>
  <c r="G224" i="11"/>
  <c r="G223" i="11"/>
  <c r="G222" i="11"/>
  <c r="G227" i="11"/>
  <c r="G226" i="11"/>
  <c r="G230" i="11"/>
  <c r="G228" i="11"/>
  <c r="G221" i="11"/>
  <c r="G220" i="11"/>
  <c r="G219" i="11"/>
  <c r="G218" i="11"/>
  <c r="G217" i="11"/>
  <c r="G216" i="11"/>
  <c r="G215" i="11"/>
  <c r="G213" i="11"/>
  <c r="G212" i="11"/>
  <c r="G211" i="11"/>
  <c r="G201" i="11"/>
  <c r="G200" i="11"/>
  <c r="G199" i="11"/>
  <c r="G198" i="11"/>
  <c r="G197" i="11"/>
  <c r="G196" i="11"/>
  <c r="G195" i="11"/>
  <c r="G191" i="11"/>
  <c r="G204" i="11"/>
  <c r="G203" i="11"/>
  <c r="G202" i="11"/>
  <c r="G206" i="11"/>
  <c r="G205" i="11"/>
  <c r="G208" i="11"/>
  <c r="G207" i="11"/>
  <c r="G275" i="11"/>
  <c r="G274" i="11"/>
  <c r="G273" i="11"/>
  <c r="G269" i="11"/>
  <c r="G268" i="11"/>
  <c r="G267" i="11"/>
  <c r="G266" i="11"/>
  <c r="G264" i="11"/>
  <c r="G263" i="11"/>
  <c r="G210" i="11"/>
  <c r="G209" i="11"/>
  <c r="G190" i="11"/>
  <c r="G165" i="11"/>
  <c r="G131" i="11"/>
  <c r="G151" i="11"/>
  <c r="G146" i="11"/>
  <c r="G153" i="11"/>
  <c r="G155" i="11"/>
  <c r="G152" i="11"/>
  <c r="G150" i="11"/>
  <c r="G149" i="11"/>
  <c r="G189" i="11"/>
  <c r="G188" i="11"/>
  <c r="G187" i="11"/>
  <c r="G186" i="11"/>
  <c r="G185" i="11"/>
  <c r="G184" i="11"/>
  <c r="G183" i="11"/>
  <c r="G182" i="11"/>
  <c r="G180" i="11"/>
  <c r="G179" i="11"/>
  <c r="G178" i="11"/>
  <c r="G177" i="11"/>
  <c r="G176" i="11"/>
  <c r="G175" i="11"/>
  <c r="G174" i="11"/>
  <c r="G173" i="11"/>
  <c r="G172" i="11"/>
  <c r="G171" i="11"/>
  <c r="G170" i="11"/>
  <c r="G169" i="11"/>
  <c r="G168" i="11"/>
  <c r="G167" i="11"/>
  <c r="G166" i="11"/>
  <c r="G160" i="11"/>
  <c r="G159" i="11"/>
  <c r="G158" i="11"/>
  <c r="G157" i="11"/>
  <c r="G164" i="11"/>
  <c r="G163" i="11"/>
  <c r="G162" i="11"/>
  <c r="G161" i="11"/>
  <c r="G156" i="11"/>
  <c r="G148" i="11"/>
  <c r="G145" i="11"/>
  <c r="G144" i="11"/>
  <c r="G143" i="11"/>
  <c r="G142" i="11"/>
  <c r="G141" i="11"/>
  <c r="G140" i="11"/>
  <c r="G125" i="11"/>
  <c r="G124" i="11"/>
  <c r="G123" i="11"/>
  <c r="G115" i="11"/>
  <c r="G116" i="11"/>
  <c r="G91" i="11"/>
  <c r="G77" i="11"/>
  <c r="G99" i="11"/>
  <c r="G101" i="11"/>
  <c r="G98" i="11"/>
  <c r="G97" i="11"/>
  <c r="G96" i="11"/>
  <c r="G84" i="11"/>
  <c r="G85" i="11"/>
  <c r="G139" i="11"/>
  <c r="G138" i="11"/>
  <c r="G137" i="11"/>
  <c r="G136" i="11"/>
  <c r="G135" i="11"/>
  <c r="G134" i="11"/>
  <c r="G133" i="11"/>
  <c r="G122" i="11"/>
  <c r="G121" i="11"/>
  <c r="G120" i="11"/>
  <c r="G119" i="11"/>
  <c r="G118" i="11"/>
  <c r="G117" i="11"/>
  <c r="G109" i="11"/>
  <c r="G108" i="11"/>
  <c r="G107" i="11"/>
  <c r="G95" i="11"/>
  <c r="G94" i="11"/>
  <c r="G93" i="11"/>
  <c r="G83" i="11"/>
  <c r="G82" i="11"/>
  <c r="G81" i="11"/>
  <c r="G80" i="11"/>
  <c r="G79" i="11"/>
  <c r="G132" i="11"/>
  <c r="G130" i="11"/>
  <c r="G129" i="11"/>
  <c r="G128" i="11"/>
  <c r="G127" i="11"/>
  <c r="G126" i="11"/>
  <c r="G114" i="11"/>
  <c r="G113" i="11"/>
  <c r="G112" i="11"/>
  <c r="G111" i="11"/>
  <c r="G110" i="11"/>
  <c r="G72" i="11"/>
  <c r="G60" i="11" l="1"/>
  <c r="G59" i="11"/>
  <c r="G61" i="11"/>
  <c r="G51" i="11"/>
  <c r="G49" i="11"/>
  <c r="G39" i="11"/>
  <c r="G41" i="11"/>
  <c r="G58" i="11"/>
  <c r="G57" i="11"/>
  <c r="G56" i="11"/>
  <c r="G55" i="11"/>
  <c r="G54" i="11"/>
  <c r="G53" i="11"/>
  <c r="G50" i="11"/>
  <c r="G48" i="11"/>
  <c r="G47" i="11"/>
  <c r="G46" i="11"/>
  <c r="G45" i="11"/>
  <c r="G44" i="11"/>
  <c r="G40" i="11"/>
  <c r="G33" i="11"/>
  <c r="G31" i="11"/>
  <c r="G30" i="11"/>
  <c r="G28" i="11"/>
  <c r="G27" i="11"/>
  <c r="G26" i="11"/>
  <c r="G25" i="11"/>
  <c r="G29" i="11"/>
  <c r="G21" i="11"/>
  <c r="G24" i="11"/>
  <c r="G22" i="11"/>
  <c r="G13" i="11"/>
  <c r="G106" i="11"/>
  <c r="G105" i="11"/>
  <c r="G104" i="11"/>
  <c r="G103" i="11"/>
  <c r="G102" i="11"/>
  <c r="G92" i="11"/>
  <c r="G90" i="11"/>
  <c r="G89" i="11"/>
  <c r="G88" i="11"/>
  <c r="G87" i="11"/>
  <c r="G86" i="11"/>
  <c r="G78" i="11"/>
  <c r="G76" i="11"/>
  <c r="G75" i="11"/>
  <c r="G74" i="11"/>
  <c r="G73" i="11"/>
  <c r="G7" i="11" l="1"/>
  <c r="E9" i="11" l="1"/>
  <c r="G36" i="11" l="1"/>
  <c r="H5" i="11"/>
  <c r="H6" i="11" s="1"/>
  <c r="G277" i="11"/>
  <c r="G276" i="11"/>
  <c r="G70" i="11"/>
  <c r="G68" i="11"/>
  <c r="G67" i="11"/>
  <c r="G65" i="11"/>
  <c r="G62" i="11"/>
  <c r="G35" i="11"/>
  <c r="G34" i="11"/>
  <c r="G15" i="11"/>
  <c r="G8" i="11"/>
  <c r="G9" i="11" l="1"/>
  <c r="G63" i="11" l="1"/>
  <c r="G43" i="11"/>
  <c r="G10" i="11"/>
  <c r="G37" i="11"/>
  <c r="G16" i="11"/>
  <c r="G14" i="11"/>
  <c r="I5" i="11"/>
  <c r="J5" i="11" l="1"/>
  <c r="K5" i="11" l="1"/>
  <c r="L5" i="11" l="1"/>
  <c r="M5" i="11" l="1"/>
  <c r="N5" i="11" l="1"/>
  <c r="O5" i="11" l="1"/>
  <c r="O6" i="11" s="1"/>
  <c r="N6" i="11"/>
  <c r="M6" i="11"/>
  <c r="L6" i="11"/>
  <c r="K6" i="11"/>
  <c r="J6" i="11"/>
  <c r="I6" i="11"/>
  <c r="H4" i="11"/>
  <c r="G38" i="11" l="1"/>
  <c r="G18" i="11"/>
  <c r="G11" i="11"/>
  <c r="G12" i="11"/>
  <c r="O4" i="11"/>
  <c r="P5" i="11"/>
  <c r="Q5" i="11" l="1"/>
  <c r="R5" i="11" l="1"/>
  <c r="S5" i="11" l="1"/>
  <c r="T5" i="11" l="1"/>
  <c r="U5" i="11" l="1"/>
  <c r="V5" i="11" l="1"/>
  <c r="V6" i="11" s="1"/>
  <c r="U6" i="11"/>
  <c r="T6" i="11"/>
  <c r="S6" i="11"/>
  <c r="R6" i="11"/>
  <c r="Q6" i="11"/>
  <c r="P6" i="11"/>
  <c r="G20" i="11"/>
  <c r="G19" i="11"/>
  <c r="W5" i="11" l="1"/>
  <c r="X5" i="11" s="1"/>
  <c r="V4" i="11"/>
  <c r="Y5" i="11" l="1"/>
  <c r="Z5" i="11" l="1"/>
  <c r="AA5" i="11" l="1"/>
  <c r="AB5" i="11" l="1"/>
  <c r="AC5" i="11" l="1"/>
  <c r="AC6" i="11" s="1"/>
  <c r="AB6" i="11"/>
  <c r="AA6" i="11"/>
  <c r="Z6" i="11"/>
  <c r="Y6" i="11"/>
  <c r="X6" i="11"/>
  <c r="W6" i="11"/>
  <c r="AD5" i="11" l="1"/>
  <c r="AE5" i="11" s="1"/>
  <c r="AF5" i="11" l="1"/>
  <c r="AG5" i="11" l="1"/>
  <c r="AH5" i="11" l="1"/>
  <c r="AI5" i="11" l="1"/>
  <c r="AI6" i="11" s="1"/>
  <c r="AH6" i="11"/>
  <c r="AG6" i="11"/>
  <c r="AF6" i="11"/>
  <c r="AE6" i="11"/>
  <c r="AD6" i="11"/>
  <c r="AC4" i="11"/>
  <c r="AJ5" i="11" l="1"/>
  <c r="AK5" i="11" l="1"/>
  <c r="AL5" i="11" l="1"/>
  <c r="AM5" i="11" l="1"/>
  <c r="AN5" i="11" l="1"/>
  <c r="AO5" i="11" l="1"/>
  <c r="AP5" i="11" l="1"/>
  <c r="AP6" i="11" s="1"/>
  <c r="AO6" i="11"/>
  <c r="AN6" i="11"/>
  <c r="AM6" i="11"/>
  <c r="AL6" i="11"/>
  <c r="AK6" i="11"/>
  <c r="AJ6" i="11"/>
  <c r="AQ5" i="11" l="1"/>
  <c r="AR5" i="11" s="1"/>
  <c r="AR6" i="11" s="1"/>
  <c r="AJ4" i="11"/>
  <c r="AQ6" i="11" l="1"/>
  <c r="AS5" i="11"/>
  <c r="AS6" i="11" s="1"/>
  <c r="AQ4" i="11"/>
  <c r="AT5" i="11" l="1"/>
  <c r="AT6" i="11" s="1"/>
  <c r="AU5" i="11" l="1"/>
  <c r="AU6" i="11" s="1"/>
  <c r="AV5" i="11" l="1"/>
  <c r="AV6" i="11" s="1"/>
  <c r="AW5" i="11" l="1"/>
  <c r="AX5" i="11" l="1"/>
  <c r="AX6" i="11" s="1"/>
  <c r="AW6" i="11"/>
  <c r="AX4" i="11" l="1"/>
  <c r="AY5" i="11"/>
  <c r="AY6" i="11" s="1"/>
  <c r="AZ5" i="11" l="1"/>
  <c r="AZ6" i="11" s="1"/>
  <c r="BA5" i="11" l="1"/>
  <c r="BA6" i="11" s="1"/>
  <c r="BB5" i="11" l="1"/>
  <c r="BB6" i="11" s="1"/>
  <c r="BC5" i="11" l="1"/>
  <c r="BC6" i="11" s="1"/>
  <c r="BD5" i="11" l="1"/>
  <c r="BD6" i="11" s="1"/>
  <c r="BE5" i="11" l="1"/>
  <c r="BE6" i="11" s="1"/>
  <c r="BE4" i="11" l="1"/>
  <c r="BF5" i="11"/>
  <c r="BF6" i="11" s="1"/>
  <c r="BG5" i="11" l="1"/>
  <c r="BG6" i="11" s="1"/>
  <c r="BH5" i="11" l="1"/>
  <c r="BH6" i="11" s="1"/>
  <c r="BI5" i="11" l="1"/>
  <c r="BI6" i="11" s="1"/>
  <c r="BJ5" i="11" l="1"/>
  <c r="BJ6" i="11" s="1"/>
  <c r="BK5" i="11" l="1"/>
  <c r="BK6" i="11" l="1"/>
  <c r="BL5" i="11"/>
  <c r="BL6" i="11" l="1"/>
  <c r="BM5" i="11"/>
  <c r="BL4" i="11"/>
  <c r="BM6" i="11" l="1"/>
  <c r="BN5" i="11"/>
  <c r="BN6" i="11" l="1"/>
  <c r="BO5" i="11"/>
  <c r="BO6" i="11" l="1"/>
  <c r="BP5" i="11"/>
  <c r="BP6" i="11" l="1"/>
  <c r="BQ5" i="11"/>
  <c r="BQ6" i="11" l="1"/>
  <c r="BR5" i="11"/>
  <c r="BR6" i="11" l="1"/>
  <c r="BS5" i="11"/>
  <c r="BS6" i="11" l="1"/>
  <c r="BS4" i="11"/>
  <c r="BT5" i="11"/>
  <c r="BU5" i="11" l="1"/>
  <c r="BT6" i="11"/>
  <c r="BU6" i="11" l="1"/>
  <c r="BV5" i="11"/>
  <c r="BV6" i="11" l="1"/>
  <c r="BW5" i="11"/>
  <c r="BW6" i="11" l="1"/>
  <c r="BX5" i="11"/>
  <c r="BX6" i="11" l="1"/>
  <c r="BY5" i="11"/>
  <c r="BY6" i="11" l="1"/>
  <c r="BZ5" i="11"/>
  <c r="BZ6" i="11" l="1"/>
  <c r="CA5" i="11"/>
  <c r="BZ4" i="11"/>
  <c r="CB5" i="11" l="1"/>
  <c r="CA6" i="11"/>
  <c r="CC5" i="11" l="1"/>
  <c r="CB6" i="11"/>
  <c r="CD5" i="11" l="1"/>
  <c r="CC6" i="11"/>
  <c r="CE5" i="11" l="1"/>
  <c r="CD6" i="11"/>
  <c r="CE6" i="11" l="1"/>
  <c r="CF5" i="11"/>
  <c r="CG5" i="11" l="1"/>
  <c r="CF6" i="11"/>
  <c r="CH5" i="11" l="1"/>
  <c r="CG6" i="11"/>
  <c r="CG4" i="11"/>
  <c r="CI5" i="11" l="1"/>
  <c r="CH6" i="11"/>
  <c r="CJ5" i="11" l="1"/>
  <c r="CI6" i="11"/>
  <c r="CK5" i="11" l="1"/>
  <c r="CJ6" i="11"/>
  <c r="CK6" i="11" l="1"/>
  <c r="CL5" i="11"/>
  <c r="CM5" i="11" l="1"/>
  <c r="CL6" i="11"/>
  <c r="CN5" i="11" l="1"/>
  <c r="CM6" i="11"/>
  <c r="CN6" i="11" l="1"/>
  <c r="CN4" i="11"/>
  <c r="CO5" i="11"/>
  <c r="CO6" i="11" l="1"/>
  <c r="CP5" i="11"/>
  <c r="CP6" i="11" l="1"/>
  <c r="CQ5" i="11"/>
  <c r="CQ6" i="11" l="1"/>
  <c r="CR5" i="11"/>
  <c r="CR6" i="11" l="1"/>
  <c r="CS5" i="11"/>
  <c r="CS6" i="11" l="1"/>
  <c r="CT5" i="11"/>
  <c r="CT6" i="11" l="1"/>
  <c r="CU5" i="11"/>
  <c r="CU6" i="11" l="1"/>
  <c r="CU4" i="11"/>
  <c r="CV5" i="11"/>
  <c r="CV6" i="11" l="1"/>
  <c r="CW5" i="11"/>
  <c r="CX5" i="11" l="1"/>
  <c r="CW6" i="11"/>
  <c r="CX6" i="11" l="1"/>
  <c r="CY5" i="11"/>
  <c r="CY6" i="11" l="1"/>
  <c r="CZ5" i="11"/>
  <c r="DA5" i="11" l="1"/>
  <c r="CZ6" i="11"/>
  <c r="DA6" i="11" l="1"/>
  <c r="DB5" i="11"/>
  <c r="DB4" i="11" l="1"/>
  <c r="DB6" i="11"/>
  <c r="DC5" i="11"/>
  <c r="DC6" i="11" l="1"/>
  <c r="DD5" i="11"/>
  <c r="DD6" i="11" l="1"/>
  <c r="DE5" i="11"/>
  <c r="DE6" i="11" l="1"/>
  <c r="DF5" i="11"/>
  <c r="DF6" i="11" l="1"/>
  <c r="DG5" i="11"/>
  <c r="DG6" i="11" l="1"/>
  <c r="DH5" i="11"/>
  <c r="DH6" i="11" l="1"/>
  <c r="DI5" i="11"/>
  <c r="DI4" i="11" l="1"/>
  <c r="DI6" i="11"/>
  <c r="DJ5" i="11"/>
  <c r="DJ6" i="11" l="1"/>
  <c r="DK5" i="11"/>
  <c r="DL5" i="11" l="1"/>
  <c r="DK6" i="11"/>
  <c r="DL6" i="11" l="1"/>
  <c r="DM5" i="11"/>
  <c r="DM6" i="11" l="1"/>
  <c r="DN5" i="11"/>
  <c r="DN6" i="11" l="1"/>
  <c r="DO5" i="11"/>
  <c r="DO6" i="11" l="1"/>
  <c r="DP5" i="11"/>
  <c r="DP6" i="11" l="1"/>
  <c r="DQ5" i="11"/>
  <c r="DP4" i="11"/>
  <c r="DR5" i="11" l="1"/>
  <c r="DQ6" i="11"/>
  <c r="DS5" i="11" l="1"/>
  <c r="DR6" i="11"/>
  <c r="DT5" i="11" l="1"/>
  <c r="DS6" i="11"/>
  <c r="DT6" i="11" l="1"/>
  <c r="DU5" i="11"/>
  <c r="DU6" i="11" l="1"/>
  <c r="DV5" i="11"/>
  <c r="DV6" i="11" l="1"/>
  <c r="DW5" i="11"/>
  <c r="DW6" i="11" l="1"/>
  <c r="DX5" i="11"/>
  <c r="DW4" i="11"/>
  <c r="DX6" i="11" l="1"/>
  <c r="DY5" i="11"/>
  <c r="DY6" i="11" l="1"/>
  <c r="DZ5" i="11"/>
  <c r="DZ6" i="11" l="1"/>
  <c r="EA5" i="11"/>
  <c r="EA6" i="11" l="1"/>
  <c r="EB5" i="11"/>
  <c r="EC5" i="11" l="1"/>
  <c r="EC6" i="11" s="1"/>
  <c r="EB6" i="11"/>
</calcChain>
</file>

<file path=xl/sharedStrings.xml><?xml version="1.0" encoding="utf-8"?>
<sst xmlns="http://schemas.openxmlformats.org/spreadsheetml/2006/main" count="580" uniqueCount="247">
  <si>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</si>
  <si>
    <t>セル B2 には会社の名前を入力します。</t>
  </si>
  <si>
    <t>セル B3 に、プロジェクト主任の名前を入力します。セル E3 には、プロジェクトの開始日を入力します。プロジェクトの開始: ラベルはセル C3 にあります。</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</si>
  <si>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</si>
  <si>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</si>
  <si>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</si>
  <si>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</si>
  <si>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</si>
  <si>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</si>
  <si>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</si>
  <si>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</si>
  <si>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サンプル フェーズ タイトル ブロック</t>
  </si>
  <si>
    <t>これは空の行です</t>
  </si>
  <si>
    <t>この行は、プロジェクトのスケジュールの終了を表します。この行には何も入力しないでください。
この行の上に新しい行を挿入して、プロジェクトのスケジュールの作成を続けます。</t>
  </si>
  <si>
    <t>タスク</t>
  </si>
  <si>
    <t>この行の上に新しい行を挿入する</t>
  </si>
  <si>
    <t>プロジェクトの開始:</t>
  </si>
  <si>
    <t>週表示:</t>
  </si>
  <si>
    <t>進捗状況</t>
  </si>
  <si>
    <t>開始</t>
  </si>
  <si>
    <t>終了</t>
  </si>
  <si>
    <t>日数</t>
  </si>
  <si>
    <t>シンプル ガント チャート (Vertex42.com)</t>
  </si>
  <si>
    <t>https://www.vertex42.com/ExcelTemplates/simple-gantt-chart.html</t>
  </si>
  <si>
    <t>このテンプレートについて</t>
  </si>
  <si>
    <t>このテンプレートを使用すると、プロジェクトの視覚化と管理に役立つガント チャートを簡単な方法で作成できます。タスクと開始日、終了日を入力するだけです。数式の入力は必要はありません。ガント チャートのバーは、タスクの期間を表し、条件付き書式を使用して表示されます。新しいタスクを挿入するには、新しい行を挿入します。</t>
  </si>
  <si>
    <t>スクリーン リーダーのガイド</t>
  </si>
  <si>
    <t>その他のヘルプ</t>
  </si>
  <si>
    <t>以下のリンクから Vertex42.com にアクセスし、このテンプレートの使用方法を詳しく学びます。たとえば、日数と稼働日の計算、タスクの依存関係を作成する、バーの色の変更、週表示を簡単に変更するためのスクロール バーを追加する方法、グラフに表示される日付範囲の拡大方法など。</t>
  </si>
  <si>
    <t>シンプル ガント チャートの使用方法</t>
  </si>
  <si>
    <t>その他のプロジェクト管理テンプレート</t>
  </si>
  <si>
    <t>Vertex42.com にアクセスして、さまざまな種類のプロジェクト スケジュール、ガント チャート、タスク リストなどのその他のプロジェクト管理テンプレートをダウンロードしてください。</t>
  </si>
  <si>
    <t>プロジェクト管理テンプレート</t>
  </si>
  <si>
    <t>Vertex42 について</t>
  </si>
  <si>
    <t>Vertex42.com では、企業、家庭、教育用に 300 を超える本格的なデザインのスプレッドシート テンプレートを提供しています。この大部分は無料でダウンロードすることができます。Vertex42.com のコレクションには、各種のカレンダー、プランナー、スケジュールに加えて、予算作成、債務削減、ローン返済用の個人の財務に関するスプレッドシートも含まれています。</t>
  </si>
  <si>
    <t>企業向けには、請求書、タイム シート、在庫管理、財務諸表、プロジェクト計画策定テンプレートがあります。学生と教師向けには、授業計画表、成績表、出席簿などのリソースがあります。献立表、チェックリスト、運動記録を使用して家族の生活を整理しましょう。各テンプレートは、数千のユーザーからのフィードバックを基に時間をかけて十分に研究、調整、改良されたものです。</t>
  </si>
  <si>
    <t>担当者</t>
    <phoneticPr fontId="29"/>
  </si>
  <si>
    <t>このブックには 2 つのワークシートがあります。
タイムシート
詳細情報
各ワークシートの説明は、各ワークシートの A 列のセル A1 から始まります。非表示のテキストで書き込まれます。各手順では、その行に含まれる情報について説明しています。明示的な指示がない限り、後続の各手順はセル A2、セル A3 といった順に格納されています。たとえば、説明テキストに、次の手順について "セル A6 に続く" と記載されている場合があります。
この非表示のテキストは印刷されません。
ワークシートからこれらの説明を削除する場合は、A 列を削除するだけです。</t>
  </si>
  <si>
    <t>https://www.vertex42.com/ExcelTemplates/simple-gantt-chart.html</t>
    <phoneticPr fontId="29"/>
  </si>
  <si>
    <t>床を設置する</t>
    <rPh sb="0" eb="1">
      <t>ユカ</t>
    </rPh>
    <rPh sb="2" eb="4">
      <t>セッチ</t>
    </rPh>
    <phoneticPr fontId="29"/>
  </si>
  <si>
    <t>壁を配置する</t>
    <rPh sb="0" eb="1">
      <t>カベ</t>
    </rPh>
    <rPh sb="2" eb="4">
      <t>ハイチ</t>
    </rPh>
    <phoneticPr fontId="29"/>
  </si>
  <si>
    <t>障害物を配置する</t>
    <rPh sb="0" eb="3">
      <t>ショウガイブツ</t>
    </rPh>
    <rPh sb="4" eb="6">
      <t>ハイチ</t>
    </rPh>
    <phoneticPr fontId="29"/>
  </si>
  <si>
    <t>段差を作る</t>
    <rPh sb="0" eb="2">
      <t>ダンサ</t>
    </rPh>
    <rPh sb="3" eb="4">
      <t>ツク</t>
    </rPh>
    <phoneticPr fontId="29"/>
  </si>
  <si>
    <t>坂道を作る</t>
    <rPh sb="0" eb="2">
      <t>サカミチ</t>
    </rPh>
    <rPh sb="3" eb="4">
      <t>ツク</t>
    </rPh>
    <phoneticPr fontId="29"/>
  </si>
  <si>
    <t>当たり判定を設定する</t>
    <rPh sb="0" eb="1">
      <t>ア</t>
    </rPh>
    <rPh sb="3" eb="5">
      <t>ハンテイ</t>
    </rPh>
    <rPh sb="6" eb="8">
      <t>セッテイ</t>
    </rPh>
    <phoneticPr fontId="29"/>
  </si>
  <si>
    <t>基本機能の実装（プレイヤーの実装）</t>
    <rPh sb="0" eb="4">
      <t>キホンキノウ</t>
    </rPh>
    <rPh sb="5" eb="7">
      <t>ジッソウ</t>
    </rPh>
    <rPh sb="14" eb="16">
      <t>ジッソウ</t>
    </rPh>
    <phoneticPr fontId="29"/>
  </si>
  <si>
    <t>基本機能の実装（仮の部屋の実装）</t>
    <rPh sb="0" eb="2">
      <t>キホン</t>
    </rPh>
    <rPh sb="2" eb="4">
      <t>キノウ</t>
    </rPh>
    <rPh sb="5" eb="7">
      <t>ジッソウ</t>
    </rPh>
    <rPh sb="8" eb="9">
      <t>カリ</t>
    </rPh>
    <rPh sb="10" eb="12">
      <t>ヘヤ</t>
    </rPh>
    <rPh sb="13" eb="15">
      <t>ジッソウ</t>
    </rPh>
    <phoneticPr fontId="29"/>
  </si>
  <si>
    <t>移動の実装</t>
    <rPh sb="0" eb="2">
      <t>イドウ</t>
    </rPh>
    <rPh sb="3" eb="5">
      <t>ジッソウ</t>
    </rPh>
    <phoneticPr fontId="29"/>
  </si>
  <si>
    <t>当たり判定を設定</t>
    <rPh sb="0" eb="1">
      <t>ア</t>
    </rPh>
    <rPh sb="3" eb="5">
      <t>ハンテイ</t>
    </rPh>
    <rPh sb="6" eb="8">
      <t>セッテイ</t>
    </rPh>
    <phoneticPr fontId="29"/>
  </si>
  <si>
    <t>ジャンプの実装</t>
    <rPh sb="5" eb="7">
      <t>ジッソウ</t>
    </rPh>
    <phoneticPr fontId="29"/>
  </si>
  <si>
    <t>被弾処理の実装</t>
    <rPh sb="0" eb="4">
      <t>ヒダンショリ</t>
    </rPh>
    <rPh sb="5" eb="7">
      <t>ジッソウ</t>
    </rPh>
    <phoneticPr fontId="29"/>
  </si>
  <si>
    <t>被弾処理の実装</t>
    <phoneticPr fontId="29"/>
  </si>
  <si>
    <t>HPの実装</t>
    <rPh sb="3" eb="5">
      <t>ジッソウ</t>
    </rPh>
    <phoneticPr fontId="29"/>
  </si>
  <si>
    <t>カメラ操作の実装（3人称）</t>
    <rPh sb="3" eb="5">
      <t>ソウサ</t>
    </rPh>
    <rPh sb="6" eb="8">
      <t>ジッソウ</t>
    </rPh>
    <rPh sb="10" eb="12">
      <t>ニンショウ</t>
    </rPh>
    <phoneticPr fontId="29"/>
  </si>
  <si>
    <t>カメラ操作の実装（1人称）</t>
    <rPh sb="3" eb="5">
      <t>ソウサ</t>
    </rPh>
    <rPh sb="6" eb="8">
      <t>ジッソウ</t>
    </rPh>
    <rPh sb="10" eb="12">
      <t>ニンショウ</t>
    </rPh>
    <phoneticPr fontId="29"/>
  </si>
  <si>
    <t>光の中でのジャンプの実装</t>
    <rPh sb="0" eb="1">
      <t>ヒカリ</t>
    </rPh>
    <rPh sb="2" eb="3">
      <t>ナカ</t>
    </rPh>
    <rPh sb="10" eb="12">
      <t>ジッソウ</t>
    </rPh>
    <phoneticPr fontId="29"/>
  </si>
  <si>
    <t>光の中にいるかの判定の実装</t>
    <rPh sb="0" eb="1">
      <t>ヒカリ</t>
    </rPh>
    <rPh sb="2" eb="3">
      <t>ナカ</t>
    </rPh>
    <rPh sb="8" eb="10">
      <t>ハンテイ</t>
    </rPh>
    <rPh sb="11" eb="13">
      <t>ジッソウ</t>
    </rPh>
    <phoneticPr fontId="29"/>
  </si>
  <si>
    <t>基本機能の実装（ギミック、アイテムの実装）</t>
    <rPh sb="0" eb="4">
      <t>キホンキノウ</t>
    </rPh>
    <rPh sb="5" eb="7">
      <t>ジッソウ</t>
    </rPh>
    <rPh sb="18" eb="20">
      <t>ジッソウ</t>
    </rPh>
    <phoneticPr fontId="29"/>
  </si>
  <si>
    <t>プレイヤーと懐中電灯の向きの実装</t>
    <rPh sb="6" eb="10">
      <t>カイチュウデントウ</t>
    </rPh>
    <rPh sb="11" eb="12">
      <t>ム</t>
    </rPh>
    <rPh sb="14" eb="16">
      <t>ジッソウ</t>
    </rPh>
    <phoneticPr fontId="29"/>
  </si>
  <si>
    <t>インタラクトの実装</t>
    <rPh sb="7" eb="9">
      <t>ジッソウ</t>
    </rPh>
    <phoneticPr fontId="29"/>
  </si>
  <si>
    <t>インベントリの実装</t>
    <rPh sb="7" eb="9">
      <t>ジッソウ</t>
    </rPh>
    <phoneticPr fontId="29"/>
  </si>
  <si>
    <t>セーブポイント処理の実装</t>
    <rPh sb="7" eb="9">
      <t>ショリ</t>
    </rPh>
    <rPh sb="10" eb="12">
      <t>ジッソウ</t>
    </rPh>
    <phoneticPr fontId="29"/>
  </si>
  <si>
    <t>死亡処理の実装</t>
    <rPh sb="0" eb="2">
      <t>シボウ</t>
    </rPh>
    <rPh sb="2" eb="4">
      <t>ショリ</t>
    </rPh>
    <rPh sb="5" eb="7">
      <t>ジッソウ</t>
    </rPh>
    <phoneticPr fontId="29"/>
  </si>
  <si>
    <t>懐中電灯攻撃の実装</t>
    <rPh sb="0" eb="4">
      <t>カイチュウデントウ</t>
    </rPh>
    <rPh sb="4" eb="6">
      <t>コウゲキ</t>
    </rPh>
    <rPh sb="7" eb="9">
      <t>ジッソウ</t>
    </rPh>
    <phoneticPr fontId="29"/>
  </si>
  <si>
    <t>当たり判定の設定</t>
    <rPh sb="0" eb="1">
      <t>ア</t>
    </rPh>
    <rPh sb="3" eb="5">
      <t>ハンテイ</t>
    </rPh>
    <rPh sb="6" eb="8">
      <t>セッテイ</t>
    </rPh>
    <phoneticPr fontId="29"/>
  </si>
  <si>
    <t>攻撃処理の実装</t>
    <rPh sb="0" eb="4">
      <t>コウゲキショリ</t>
    </rPh>
    <rPh sb="5" eb="7">
      <t>ジッソウ</t>
    </rPh>
    <phoneticPr fontId="29"/>
  </si>
  <si>
    <t>基本機能の実装（通常の敵の実装）</t>
    <rPh sb="0" eb="2">
      <t>キホン</t>
    </rPh>
    <rPh sb="2" eb="4">
      <t>キノウ</t>
    </rPh>
    <rPh sb="5" eb="7">
      <t>ジッソウ</t>
    </rPh>
    <rPh sb="8" eb="10">
      <t>ツウジョウ</t>
    </rPh>
    <rPh sb="11" eb="12">
      <t>テキ</t>
    </rPh>
    <rPh sb="13" eb="15">
      <t>ジッソウ</t>
    </rPh>
    <phoneticPr fontId="29"/>
  </si>
  <si>
    <t>基本機能の実装（光に耐性のある敵の実装）</t>
    <rPh sb="0" eb="2">
      <t>キホン</t>
    </rPh>
    <rPh sb="2" eb="4">
      <t>キノウ</t>
    </rPh>
    <rPh sb="5" eb="7">
      <t>ジッソウ</t>
    </rPh>
    <rPh sb="8" eb="9">
      <t>ヒカリ</t>
    </rPh>
    <rPh sb="10" eb="12">
      <t>タイセイ</t>
    </rPh>
    <rPh sb="15" eb="16">
      <t>テキ</t>
    </rPh>
    <rPh sb="17" eb="19">
      <t>ジッソウ</t>
    </rPh>
    <phoneticPr fontId="29"/>
  </si>
  <si>
    <t>基本機能の実装（光のシステムの実装）</t>
    <rPh sb="0" eb="4">
      <t>キホンキノウ</t>
    </rPh>
    <rPh sb="5" eb="7">
      <t>ジッソウ</t>
    </rPh>
    <rPh sb="8" eb="9">
      <t>ヒカリ</t>
    </rPh>
    <rPh sb="15" eb="17">
      <t>ジッソウ</t>
    </rPh>
    <phoneticPr fontId="29"/>
  </si>
  <si>
    <t>設置光源の照射範囲の実装</t>
    <rPh sb="0" eb="4">
      <t>セッチコウゲン</t>
    </rPh>
    <rPh sb="5" eb="7">
      <t>ショウシャ</t>
    </rPh>
    <rPh sb="7" eb="9">
      <t>ハンイ</t>
    </rPh>
    <rPh sb="10" eb="12">
      <t>ジッソウ</t>
    </rPh>
    <phoneticPr fontId="29"/>
  </si>
  <si>
    <t>照明の照射範囲の実装</t>
    <rPh sb="0" eb="2">
      <t>ショウメイ</t>
    </rPh>
    <rPh sb="8" eb="10">
      <t>ジッソウ</t>
    </rPh>
    <phoneticPr fontId="29"/>
  </si>
  <si>
    <t>懐中電動の照射範囲の実装</t>
    <rPh sb="0" eb="4">
      <t>カイチュウデンドウ</t>
    </rPh>
    <rPh sb="10" eb="12">
      <t>ジッソウ</t>
    </rPh>
    <phoneticPr fontId="29"/>
  </si>
  <si>
    <t>巡回ルート（オブジェクトを避ける）の実装</t>
    <rPh sb="0" eb="2">
      <t>ジュンカイ</t>
    </rPh>
    <rPh sb="13" eb="14">
      <t>ヨ</t>
    </rPh>
    <rPh sb="18" eb="20">
      <t>ジッソウ</t>
    </rPh>
    <phoneticPr fontId="29"/>
  </si>
  <si>
    <t>巡回ルート（光を避ける）の実装</t>
    <rPh sb="0" eb="2">
      <t>ジュンカイ</t>
    </rPh>
    <rPh sb="6" eb="7">
      <t>ヒカリ</t>
    </rPh>
    <rPh sb="8" eb="9">
      <t>ヨ</t>
    </rPh>
    <rPh sb="13" eb="15">
      <t>ジッソウ</t>
    </rPh>
    <phoneticPr fontId="29"/>
  </si>
  <si>
    <t>索敵範囲（視界）の実装</t>
    <rPh sb="0" eb="4">
      <t>サクテキハンイ</t>
    </rPh>
    <rPh sb="5" eb="7">
      <t>シカイ</t>
    </rPh>
    <rPh sb="9" eb="11">
      <t>ジッソウ</t>
    </rPh>
    <phoneticPr fontId="29"/>
  </si>
  <si>
    <t>索敵範囲（音）の実装</t>
    <rPh sb="0" eb="4">
      <t>サクテキハンイ</t>
    </rPh>
    <rPh sb="5" eb="6">
      <t>オト</t>
    </rPh>
    <rPh sb="8" eb="10">
      <t>ジッソウ</t>
    </rPh>
    <phoneticPr fontId="29"/>
  </si>
  <si>
    <t>死亡処理の実装</t>
    <rPh sb="0" eb="4">
      <t>シボウショリ</t>
    </rPh>
    <rPh sb="5" eb="7">
      <t>ジッソウ</t>
    </rPh>
    <phoneticPr fontId="29"/>
  </si>
  <si>
    <t>巡回ルート（オブジェクトを避ける）の実装</t>
    <rPh sb="0" eb="2">
      <t>ジュンカイ</t>
    </rPh>
    <rPh sb="13" eb="14">
      <t>サ</t>
    </rPh>
    <rPh sb="18" eb="20">
      <t>ジッソウ</t>
    </rPh>
    <phoneticPr fontId="29"/>
  </si>
  <si>
    <t>巡回ルート（光の中での挙動）の実装</t>
    <rPh sb="0" eb="2">
      <t>ジュンカイ</t>
    </rPh>
    <rPh sb="6" eb="7">
      <t>ヒカリ</t>
    </rPh>
    <rPh sb="8" eb="9">
      <t>ナカ</t>
    </rPh>
    <rPh sb="11" eb="13">
      <t>キョドウ</t>
    </rPh>
    <rPh sb="15" eb="17">
      <t>ジッソウ</t>
    </rPh>
    <phoneticPr fontId="29"/>
  </si>
  <si>
    <t>光の当たり判定の設定</t>
    <rPh sb="0" eb="1">
      <t>ヒカリ</t>
    </rPh>
    <rPh sb="2" eb="3">
      <t>ア</t>
    </rPh>
    <rPh sb="5" eb="7">
      <t>ハンテイ</t>
    </rPh>
    <rPh sb="8" eb="10">
      <t>セッテイ</t>
    </rPh>
    <phoneticPr fontId="29"/>
  </si>
  <si>
    <t>設置光源から光る処理の実装</t>
    <rPh sb="0" eb="4">
      <t>セッチコウゲン</t>
    </rPh>
    <rPh sb="6" eb="7">
      <t>ヒカ</t>
    </rPh>
    <rPh sb="8" eb="10">
      <t>ショリ</t>
    </rPh>
    <rPh sb="11" eb="13">
      <t>ジッソウ</t>
    </rPh>
    <phoneticPr fontId="29"/>
  </si>
  <si>
    <t>照明から光る処理の実装</t>
    <rPh sb="0" eb="2">
      <t>ショウメイ</t>
    </rPh>
    <rPh sb="9" eb="11">
      <t>ジッソウ</t>
    </rPh>
    <phoneticPr fontId="29"/>
  </si>
  <si>
    <t>懐中電動から光る処理の実装</t>
    <rPh sb="0" eb="4">
      <t>カイチュウデンドウ</t>
    </rPh>
    <rPh sb="11" eb="13">
      <t>ジッソウ</t>
    </rPh>
    <phoneticPr fontId="29"/>
  </si>
  <si>
    <t>点滅する照明の実装</t>
    <rPh sb="0" eb="2">
      <t>テンメツ</t>
    </rPh>
    <rPh sb="4" eb="6">
      <t>ショウメイ</t>
    </rPh>
    <rPh sb="7" eb="9">
      <t>ジッソウ</t>
    </rPh>
    <phoneticPr fontId="29"/>
  </si>
  <si>
    <t>電池（拾えるアイテム）の実装</t>
    <rPh sb="0" eb="2">
      <t>デンチ</t>
    </rPh>
    <rPh sb="3" eb="4">
      <t>ヒロ</t>
    </rPh>
    <rPh sb="12" eb="14">
      <t>ジッソウ</t>
    </rPh>
    <phoneticPr fontId="29"/>
  </si>
  <si>
    <t>電池の充電処理の実装</t>
    <rPh sb="0" eb="2">
      <t>デンチ</t>
    </rPh>
    <rPh sb="3" eb="5">
      <t>ジュウデン</t>
    </rPh>
    <rPh sb="5" eb="7">
      <t>ショリ</t>
    </rPh>
    <rPh sb="8" eb="10">
      <t>ジッソウ</t>
    </rPh>
    <phoneticPr fontId="29"/>
  </si>
  <si>
    <t>設置光源（拾えるアイテム）の実装</t>
    <rPh sb="0" eb="4">
      <t>セッチコウゲン</t>
    </rPh>
    <rPh sb="5" eb="6">
      <t>ヒロ</t>
    </rPh>
    <rPh sb="14" eb="16">
      <t>ジッソウ</t>
    </rPh>
    <phoneticPr fontId="29"/>
  </si>
  <si>
    <t>設置光源（インベントリに移動）の実装</t>
    <rPh sb="0" eb="4">
      <t>セッチコウゲン</t>
    </rPh>
    <rPh sb="12" eb="14">
      <t>イドウ</t>
    </rPh>
    <rPh sb="16" eb="18">
      <t>ジッソウ</t>
    </rPh>
    <phoneticPr fontId="29"/>
  </si>
  <si>
    <t>回復処理の実装</t>
    <rPh sb="0" eb="4">
      <t>カイフクショリ</t>
    </rPh>
    <rPh sb="5" eb="7">
      <t>ジッソウ</t>
    </rPh>
    <phoneticPr fontId="29"/>
  </si>
  <si>
    <t>落とし穴の死亡判定の実装</t>
    <rPh sb="0" eb="1">
      <t>オ</t>
    </rPh>
    <rPh sb="3" eb="4">
      <t>アナ</t>
    </rPh>
    <rPh sb="5" eb="7">
      <t>シボウ</t>
    </rPh>
    <rPh sb="7" eb="9">
      <t>ハンテイ</t>
    </rPh>
    <rPh sb="10" eb="12">
      <t>ジッソウ</t>
    </rPh>
    <phoneticPr fontId="29"/>
  </si>
  <si>
    <t>アイテム強調（発光）の実装</t>
    <rPh sb="4" eb="6">
      <t>キョウチョウ</t>
    </rPh>
    <rPh sb="7" eb="9">
      <t>ハッコウ</t>
    </rPh>
    <rPh sb="11" eb="13">
      <t>ジッソウ</t>
    </rPh>
    <phoneticPr fontId="29"/>
  </si>
  <si>
    <t>モックの実装（2階廊下1）</t>
    <rPh sb="4" eb="6">
      <t>ジッソウ</t>
    </rPh>
    <rPh sb="8" eb="9">
      <t>カイ</t>
    </rPh>
    <rPh sb="9" eb="11">
      <t>ロウカ</t>
    </rPh>
    <phoneticPr fontId="29"/>
  </si>
  <si>
    <t>モックの実装(音楽室)</t>
    <rPh sb="4" eb="6">
      <t>ジッソウ</t>
    </rPh>
    <rPh sb="7" eb="10">
      <t>オンガクシツ</t>
    </rPh>
    <phoneticPr fontId="29"/>
  </si>
  <si>
    <t>モックの実装（2階廊下2）</t>
    <rPh sb="4" eb="6">
      <t>ジッソウ</t>
    </rPh>
    <rPh sb="8" eb="9">
      <t>カイ</t>
    </rPh>
    <rPh sb="9" eb="11">
      <t>ロウカ</t>
    </rPh>
    <phoneticPr fontId="29"/>
  </si>
  <si>
    <t>モックの実装(図書室)</t>
    <rPh sb="4" eb="6">
      <t>ジッソウ</t>
    </rPh>
    <rPh sb="7" eb="10">
      <t>トショシツ</t>
    </rPh>
    <phoneticPr fontId="29"/>
  </si>
  <si>
    <t>モックの実装(最終廊下)</t>
    <rPh sb="4" eb="6">
      <t>ジッソウ</t>
    </rPh>
    <rPh sb="7" eb="11">
      <t>サイシュウロウカ</t>
    </rPh>
    <phoneticPr fontId="29"/>
  </si>
  <si>
    <t>床を設置する</t>
  </si>
  <si>
    <t>壁を配置する</t>
  </si>
  <si>
    <t>障害物を配置する</t>
  </si>
  <si>
    <t>敵を配置する</t>
    <rPh sb="0" eb="1">
      <t>テキ</t>
    </rPh>
    <rPh sb="2" eb="4">
      <t>ハイチ</t>
    </rPh>
    <phoneticPr fontId="29"/>
  </si>
  <si>
    <t>照明を配置する</t>
  </si>
  <si>
    <t>照明を配置する</t>
    <rPh sb="0" eb="2">
      <t>ショウメイ</t>
    </rPh>
    <rPh sb="3" eb="5">
      <t>ハイチ</t>
    </rPh>
    <phoneticPr fontId="29"/>
  </si>
  <si>
    <t>スイッチを配置（照明）</t>
  </si>
  <si>
    <t>スイッチを配置（照明）</t>
    <rPh sb="5" eb="7">
      <t>ハイチ</t>
    </rPh>
    <rPh sb="8" eb="10">
      <t>ショウメイ</t>
    </rPh>
    <phoneticPr fontId="29"/>
  </si>
  <si>
    <t>スイッチ（ドアが開く処理）の実装</t>
    <rPh sb="8" eb="9">
      <t>ヒラ</t>
    </rPh>
    <rPh sb="10" eb="12">
      <t>ショリ</t>
    </rPh>
    <rPh sb="14" eb="16">
      <t>ジッソウ</t>
    </rPh>
    <phoneticPr fontId="29"/>
  </si>
  <si>
    <t>スイッチ（照明のON/OFF処理）の実装</t>
    <rPh sb="5" eb="7">
      <t>ショウメイ</t>
    </rPh>
    <rPh sb="14" eb="16">
      <t>ショリ</t>
    </rPh>
    <rPh sb="18" eb="20">
      <t>ジッソウ</t>
    </rPh>
    <phoneticPr fontId="29"/>
  </si>
  <si>
    <t>スイッチを配置（ドア）</t>
    <rPh sb="5" eb="7">
      <t>ハイチ</t>
    </rPh>
    <phoneticPr fontId="29"/>
  </si>
  <si>
    <t>セーブポイントの配置</t>
  </si>
  <si>
    <t>セーブポイントの配置</t>
    <rPh sb="8" eb="10">
      <t>ハイチ</t>
    </rPh>
    <phoneticPr fontId="29"/>
  </si>
  <si>
    <t>落とし穴の配置</t>
    <rPh sb="0" eb="1">
      <t>オ</t>
    </rPh>
    <rPh sb="3" eb="4">
      <t>アナ</t>
    </rPh>
    <rPh sb="5" eb="7">
      <t>ハイチ</t>
    </rPh>
    <phoneticPr fontId="29"/>
  </si>
  <si>
    <t>アイテムの配置</t>
  </si>
  <si>
    <t>アイテムの配置</t>
    <rPh sb="5" eb="7">
      <t>ハイチ</t>
    </rPh>
    <phoneticPr fontId="29"/>
  </si>
  <si>
    <t>懐中電灯の充電消費処理の実装</t>
    <rPh sb="0" eb="4">
      <t>カイチュウデントウ</t>
    </rPh>
    <rPh sb="5" eb="7">
      <t>ジュウデン</t>
    </rPh>
    <rPh sb="7" eb="9">
      <t>ショウヒ</t>
    </rPh>
    <rPh sb="9" eb="11">
      <t>ショリ</t>
    </rPh>
    <rPh sb="12" eb="14">
      <t>ジッソウ</t>
    </rPh>
    <phoneticPr fontId="29"/>
  </si>
  <si>
    <t>カメラ演出の実装</t>
    <rPh sb="3" eb="5">
      <t>エンシュツ</t>
    </rPh>
    <rPh sb="6" eb="8">
      <t>ジッソウ</t>
    </rPh>
    <phoneticPr fontId="29"/>
  </si>
  <si>
    <t>カメラ演出中の敵とプレイヤーの停止処理の実装</t>
    <rPh sb="3" eb="5">
      <t>エンシュツ</t>
    </rPh>
    <rPh sb="5" eb="6">
      <t>チュウ</t>
    </rPh>
    <rPh sb="7" eb="8">
      <t>テキ</t>
    </rPh>
    <rPh sb="15" eb="19">
      <t>テイシショリ</t>
    </rPh>
    <rPh sb="20" eb="22">
      <t>ジッソウ</t>
    </rPh>
    <phoneticPr fontId="29"/>
  </si>
  <si>
    <t>楽器の当たり判定の実装</t>
    <rPh sb="0" eb="2">
      <t>ガッキ</t>
    </rPh>
    <rPh sb="3" eb="4">
      <t>ア</t>
    </rPh>
    <rPh sb="6" eb="8">
      <t>ハンテイ</t>
    </rPh>
    <rPh sb="9" eb="11">
      <t>ジッソウ</t>
    </rPh>
    <phoneticPr fontId="29"/>
  </si>
  <si>
    <t>音が鳴るシステムの実装</t>
    <rPh sb="0" eb="1">
      <t>オト</t>
    </rPh>
    <rPh sb="2" eb="3">
      <t>ナ</t>
    </rPh>
    <rPh sb="9" eb="11">
      <t>ジッソウ</t>
    </rPh>
    <phoneticPr fontId="29"/>
  </si>
  <si>
    <t>正解判定時にドアが開く処理の実装</t>
    <rPh sb="0" eb="5">
      <t>セイカイハンテイジ</t>
    </rPh>
    <rPh sb="9" eb="10">
      <t>ヒラ</t>
    </rPh>
    <rPh sb="11" eb="13">
      <t>ショリ</t>
    </rPh>
    <rPh sb="14" eb="16">
      <t>ジッソウ</t>
    </rPh>
    <phoneticPr fontId="29"/>
  </si>
  <si>
    <t>パズルの正解判定の実装</t>
    <rPh sb="4" eb="6">
      <t>セイカイ</t>
    </rPh>
    <rPh sb="6" eb="8">
      <t>ハンテイ</t>
    </rPh>
    <rPh sb="9" eb="11">
      <t>ジッソウ</t>
    </rPh>
    <phoneticPr fontId="29"/>
  </si>
  <si>
    <t>ヒント表示の実装</t>
    <rPh sb="3" eb="5">
      <t>ヒョウジ</t>
    </rPh>
    <rPh sb="6" eb="8">
      <t>ジッソウ</t>
    </rPh>
    <phoneticPr fontId="29"/>
  </si>
  <si>
    <t>敵の巡回ルートの設定</t>
    <rPh sb="0" eb="1">
      <t>テキ</t>
    </rPh>
    <rPh sb="2" eb="4">
      <t>ジュンカイ</t>
    </rPh>
    <rPh sb="8" eb="10">
      <t>セッテイ</t>
    </rPh>
    <phoneticPr fontId="29"/>
  </si>
  <si>
    <t>本の配置（拾えるアイテム）</t>
    <rPh sb="0" eb="1">
      <t>ホン</t>
    </rPh>
    <rPh sb="2" eb="4">
      <t>ハイチ</t>
    </rPh>
    <rPh sb="5" eb="6">
      <t>ヒロ</t>
    </rPh>
    <phoneticPr fontId="29"/>
  </si>
  <si>
    <t>監視カメラの配置</t>
    <rPh sb="0" eb="2">
      <t>カンシ</t>
    </rPh>
    <rPh sb="6" eb="8">
      <t>ハイチ</t>
    </rPh>
    <phoneticPr fontId="29"/>
  </si>
  <si>
    <t>監視カメラの視野の設定</t>
    <rPh sb="0" eb="2">
      <t>カンシ</t>
    </rPh>
    <rPh sb="6" eb="8">
      <t>シヤ</t>
    </rPh>
    <rPh sb="9" eb="11">
      <t>セッテイ</t>
    </rPh>
    <phoneticPr fontId="29"/>
  </si>
  <si>
    <t>監視画面に表示する処理の実装</t>
    <rPh sb="0" eb="2">
      <t>カンシ</t>
    </rPh>
    <rPh sb="2" eb="4">
      <t>ガメン</t>
    </rPh>
    <rPh sb="5" eb="7">
      <t>ヒョウジ</t>
    </rPh>
    <rPh sb="9" eb="11">
      <t>ショリ</t>
    </rPh>
    <rPh sb="12" eb="14">
      <t>ジッソウ</t>
    </rPh>
    <phoneticPr fontId="29"/>
  </si>
  <si>
    <t>監視画面インタラクト（拡大）処理の実装</t>
    <rPh sb="0" eb="4">
      <t>カンシガメン</t>
    </rPh>
    <rPh sb="11" eb="13">
      <t>カクダイ</t>
    </rPh>
    <rPh sb="14" eb="16">
      <t>ショリ</t>
    </rPh>
    <rPh sb="17" eb="19">
      <t>ジッソウ</t>
    </rPh>
    <phoneticPr fontId="29"/>
  </si>
  <si>
    <t>スイッチ（足場出現）処理の実装</t>
    <rPh sb="5" eb="7">
      <t>アシバ</t>
    </rPh>
    <rPh sb="7" eb="9">
      <t>シュツゲン</t>
    </rPh>
    <rPh sb="10" eb="12">
      <t>ショリ</t>
    </rPh>
    <rPh sb="13" eb="15">
      <t>ジッソウ</t>
    </rPh>
    <phoneticPr fontId="29"/>
  </si>
  <si>
    <t>足場出現の処理の実装</t>
    <rPh sb="0" eb="2">
      <t>アシバ</t>
    </rPh>
    <rPh sb="2" eb="4">
      <t>シュツゲン</t>
    </rPh>
    <rPh sb="5" eb="7">
      <t>ショリ</t>
    </rPh>
    <rPh sb="8" eb="10">
      <t>ジッソウ</t>
    </rPh>
    <phoneticPr fontId="29"/>
  </si>
  <si>
    <t>動く照明のルートの実装</t>
    <rPh sb="0" eb="1">
      <t>ウゴ</t>
    </rPh>
    <rPh sb="2" eb="4">
      <t>ショウメイ</t>
    </rPh>
    <rPh sb="9" eb="11">
      <t>ジッソウ</t>
    </rPh>
    <phoneticPr fontId="29"/>
  </si>
  <si>
    <t>ゴール処理の実装</t>
    <rPh sb="3" eb="5">
      <t>ショリ</t>
    </rPh>
    <rPh sb="6" eb="8">
      <t>ジッソウ</t>
    </rPh>
    <phoneticPr fontId="29"/>
  </si>
  <si>
    <t>敵の配置の評価</t>
    <rPh sb="0" eb="1">
      <t>テキ</t>
    </rPh>
    <rPh sb="2" eb="4">
      <t>ハイチ</t>
    </rPh>
    <rPh sb="5" eb="7">
      <t>ヒョウカ</t>
    </rPh>
    <phoneticPr fontId="29"/>
  </si>
  <si>
    <t>アイテムの量の評価</t>
    <rPh sb="5" eb="6">
      <t>リョウ</t>
    </rPh>
    <rPh sb="7" eb="9">
      <t>ヒョウカ</t>
    </rPh>
    <phoneticPr fontId="29"/>
  </si>
  <si>
    <t>操作感の評価</t>
    <rPh sb="0" eb="3">
      <t>ソウサカン</t>
    </rPh>
    <rPh sb="4" eb="6">
      <t>ヒョウカ</t>
    </rPh>
    <phoneticPr fontId="29"/>
  </si>
  <si>
    <t>チュートリアルステージ（教室）</t>
    <rPh sb="12" eb="14">
      <t>キョウシツ</t>
    </rPh>
    <phoneticPr fontId="29"/>
  </si>
  <si>
    <t>チュートリアルステージ（廊下）</t>
    <rPh sb="12" eb="14">
      <t>ロウカ</t>
    </rPh>
    <phoneticPr fontId="29"/>
  </si>
  <si>
    <t>チュートリアルステージ（踊り場）</t>
    <rPh sb="12" eb="13">
      <t>オド</t>
    </rPh>
    <rPh sb="14" eb="15">
      <t>バ</t>
    </rPh>
    <phoneticPr fontId="29"/>
  </si>
  <si>
    <t>テストプレイ後の調整</t>
    <rPh sb="6" eb="7">
      <t>ゴ</t>
    </rPh>
    <rPh sb="8" eb="10">
      <t>チョウセイ</t>
    </rPh>
    <phoneticPr fontId="29"/>
  </si>
  <si>
    <t>敵の配置の調整</t>
    <rPh sb="0" eb="1">
      <t>テキ</t>
    </rPh>
    <rPh sb="2" eb="4">
      <t>ハイチ</t>
    </rPh>
    <rPh sb="5" eb="7">
      <t>チョウセイ</t>
    </rPh>
    <phoneticPr fontId="29"/>
  </si>
  <si>
    <t>アイテムの量の調整</t>
    <rPh sb="5" eb="6">
      <t>リョウ</t>
    </rPh>
    <rPh sb="7" eb="9">
      <t>チョウセイ</t>
    </rPh>
    <phoneticPr fontId="29"/>
  </si>
  <si>
    <t>操作感の調整</t>
    <rPh sb="0" eb="3">
      <t>ソウサカン</t>
    </rPh>
    <rPh sb="4" eb="6">
      <t>チョウセイ</t>
    </rPh>
    <phoneticPr fontId="29"/>
  </si>
  <si>
    <t>障害物の配置の調整</t>
    <rPh sb="0" eb="3">
      <t>ショウガイブツ</t>
    </rPh>
    <rPh sb="4" eb="6">
      <t>ハイチ</t>
    </rPh>
    <rPh sb="7" eb="9">
      <t>チョウセイ</t>
    </rPh>
    <phoneticPr fontId="29"/>
  </si>
  <si>
    <t>敵の挙動の評価</t>
    <rPh sb="0" eb="1">
      <t>テキ</t>
    </rPh>
    <rPh sb="2" eb="4">
      <t>キョドウ</t>
    </rPh>
    <rPh sb="5" eb="7">
      <t>ヒョウカ</t>
    </rPh>
    <phoneticPr fontId="29"/>
  </si>
  <si>
    <t>敵の探索ルートの調整</t>
    <rPh sb="0" eb="1">
      <t>テキ</t>
    </rPh>
    <rPh sb="2" eb="4">
      <t>タンサク</t>
    </rPh>
    <rPh sb="8" eb="10">
      <t>チョウセイ</t>
    </rPh>
    <phoneticPr fontId="29"/>
  </si>
  <si>
    <t>プレイヤーのスポーン位置設定</t>
    <rPh sb="10" eb="12">
      <t>イチ</t>
    </rPh>
    <rPh sb="12" eb="14">
      <t>セッテイ</t>
    </rPh>
    <phoneticPr fontId="29"/>
  </si>
  <si>
    <t>ヒント表示中の敵とプレイヤー停止処理の実装</t>
    <rPh sb="3" eb="5">
      <t>ヒョウジ</t>
    </rPh>
    <rPh sb="5" eb="6">
      <t>チュウ</t>
    </rPh>
    <rPh sb="7" eb="8">
      <t>テキ</t>
    </rPh>
    <rPh sb="14" eb="18">
      <t>テイシショリ</t>
    </rPh>
    <rPh sb="19" eb="21">
      <t>ジッソウ</t>
    </rPh>
    <phoneticPr fontId="29"/>
  </si>
  <si>
    <t>敵の配置</t>
    <rPh sb="0" eb="1">
      <t>テキ</t>
    </rPh>
    <rPh sb="2" eb="4">
      <t>ハイチ</t>
    </rPh>
    <phoneticPr fontId="29"/>
  </si>
  <si>
    <t>ヒント表示中の敵、プレイヤーの停止処理</t>
    <rPh sb="3" eb="6">
      <t>ヒョウジチュウ</t>
    </rPh>
    <rPh sb="7" eb="8">
      <t>テキ</t>
    </rPh>
    <rPh sb="15" eb="19">
      <t>テイシショリ</t>
    </rPh>
    <phoneticPr fontId="29"/>
  </si>
  <si>
    <t>階段の設置</t>
    <rPh sb="0" eb="2">
      <t>カイダン</t>
    </rPh>
    <rPh sb="3" eb="5">
      <t>セッチ</t>
    </rPh>
    <phoneticPr fontId="29"/>
  </si>
  <si>
    <t>プレイヤーのHPの量の評価</t>
    <rPh sb="9" eb="10">
      <t>リョウ</t>
    </rPh>
    <rPh sb="11" eb="13">
      <t>ヒョウカ</t>
    </rPh>
    <phoneticPr fontId="29"/>
  </si>
  <si>
    <t>攻撃力や被ダメージの調整</t>
    <rPh sb="0" eb="3">
      <t>コウゲキリョク</t>
    </rPh>
    <rPh sb="4" eb="5">
      <t>ヒ</t>
    </rPh>
    <rPh sb="10" eb="12">
      <t>チョウセイ</t>
    </rPh>
    <phoneticPr fontId="29"/>
  </si>
  <si>
    <t>タイトル画面</t>
    <rPh sb="4" eb="6">
      <t>ガメン</t>
    </rPh>
    <phoneticPr fontId="29"/>
  </si>
  <si>
    <t>導入画面</t>
    <rPh sb="0" eb="2">
      <t>ドウニュウ</t>
    </rPh>
    <rPh sb="2" eb="4">
      <t>ガメン</t>
    </rPh>
    <phoneticPr fontId="29"/>
  </si>
  <si>
    <t>エンディング画面</t>
    <rPh sb="6" eb="8">
      <t>ガメン</t>
    </rPh>
    <phoneticPr fontId="29"/>
  </si>
  <si>
    <t>主人公のモデルの用意</t>
    <rPh sb="0" eb="3">
      <t>シュジンコウ</t>
    </rPh>
    <rPh sb="8" eb="10">
      <t>ヨウイ</t>
    </rPh>
    <phoneticPr fontId="29"/>
  </si>
  <si>
    <t>通常敵のモデルの用意</t>
    <rPh sb="0" eb="3">
      <t>ツウジョウテキ</t>
    </rPh>
    <rPh sb="8" eb="10">
      <t>ヨウイ</t>
    </rPh>
    <phoneticPr fontId="29"/>
  </si>
  <si>
    <t>光に耐性のある敵のモデルの用意</t>
    <rPh sb="0" eb="1">
      <t>ヒカリ</t>
    </rPh>
    <rPh sb="2" eb="4">
      <t>タイセイ</t>
    </rPh>
    <rPh sb="7" eb="8">
      <t>テキ</t>
    </rPh>
    <rPh sb="13" eb="15">
      <t>ヨウイ</t>
    </rPh>
    <phoneticPr fontId="29"/>
  </si>
  <si>
    <t>床のモデルの用意</t>
    <rPh sb="0" eb="1">
      <t>ユカ</t>
    </rPh>
    <rPh sb="6" eb="8">
      <t>ヨウイ</t>
    </rPh>
    <phoneticPr fontId="29"/>
  </si>
  <si>
    <t>壁のモデルの用意</t>
    <rPh sb="0" eb="1">
      <t>カベ</t>
    </rPh>
    <rPh sb="6" eb="8">
      <t>ヨウイ</t>
    </rPh>
    <phoneticPr fontId="29"/>
  </si>
  <si>
    <t>ドアのモデルの用意</t>
    <rPh sb="7" eb="9">
      <t>ヨウイ</t>
    </rPh>
    <phoneticPr fontId="29"/>
  </si>
  <si>
    <t>階段のモデルの用意</t>
    <rPh sb="0" eb="2">
      <t>カイダン</t>
    </rPh>
    <rPh sb="7" eb="9">
      <t>ヨウイ</t>
    </rPh>
    <phoneticPr fontId="29"/>
  </si>
  <si>
    <t>掲示板のモデルの用意</t>
    <rPh sb="0" eb="3">
      <t>ケイジバン</t>
    </rPh>
    <rPh sb="8" eb="10">
      <t>ヨウイ</t>
    </rPh>
    <phoneticPr fontId="29"/>
  </si>
  <si>
    <t>黒板のモデルの用意</t>
    <rPh sb="0" eb="2">
      <t>コクバン</t>
    </rPh>
    <rPh sb="7" eb="9">
      <t>ヨウイ</t>
    </rPh>
    <phoneticPr fontId="29"/>
  </si>
  <si>
    <t>机のモデルの用意</t>
    <rPh sb="0" eb="1">
      <t>ツクエ</t>
    </rPh>
    <rPh sb="6" eb="8">
      <t>ヨウイ</t>
    </rPh>
    <phoneticPr fontId="29"/>
  </si>
  <si>
    <t>椅子のモデルの用意</t>
    <rPh sb="0" eb="2">
      <t>イス</t>
    </rPh>
    <rPh sb="7" eb="9">
      <t>ヨウイ</t>
    </rPh>
    <phoneticPr fontId="29"/>
  </si>
  <si>
    <t>説明画像の作成（操作方法）</t>
    <rPh sb="0" eb="4">
      <t>セツメイガゾウ</t>
    </rPh>
    <rPh sb="5" eb="7">
      <t>サクセイ</t>
    </rPh>
    <rPh sb="8" eb="12">
      <t>ソウサホウホウ</t>
    </rPh>
    <phoneticPr fontId="29"/>
  </si>
  <si>
    <t>説明画像の作成（設置光源）</t>
    <rPh sb="0" eb="4">
      <t>セツメイガゾウ</t>
    </rPh>
    <rPh sb="5" eb="7">
      <t>サクセイ</t>
    </rPh>
    <rPh sb="8" eb="12">
      <t>セッチコウゲン</t>
    </rPh>
    <phoneticPr fontId="29"/>
  </si>
  <si>
    <t>説明画像の作成（懐中電灯）</t>
    <rPh sb="0" eb="4">
      <t>セツメイガゾウ</t>
    </rPh>
    <rPh sb="5" eb="7">
      <t>サクセイ</t>
    </rPh>
    <rPh sb="8" eb="12">
      <t>カイチュウデントウ</t>
    </rPh>
    <phoneticPr fontId="29"/>
  </si>
  <si>
    <t>説明画像の作成（照明）</t>
    <rPh sb="0" eb="4">
      <t>セツメイガゾウ</t>
    </rPh>
    <rPh sb="5" eb="7">
      <t>サクセイ</t>
    </rPh>
    <rPh sb="8" eb="10">
      <t>ショウメイ</t>
    </rPh>
    <phoneticPr fontId="29"/>
  </si>
  <si>
    <t>説明画像の作成（電池）</t>
    <rPh sb="0" eb="4">
      <t>セツメイガゾウ</t>
    </rPh>
    <rPh sb="5" eb="7">
      <t>サクセイ</t>
    </rPh>
    <rPh sb="8" eb="10">
      <t>デンチ</t>
    </rPh>
    <phoneticPr fontId="29"/>
  </si>
  <si>
    <t>説明画像の作成（光に耐性のある敵）</t>
    <rPh sb="0" eb="4">
      <t>セツメイガゾウ</t>
    </rPh>
    <rPh sb="5" eb="7">
      <t>サクセイ</t>
    </rPh>
    <rPh sb="8" eb="9">
      <t>ヒカリ</t>
    </rPh>
    <rPh sb="10" eb="12">
      <t>タイセイ</t>
    </rPh>
    <rPh sb="15" eb="16">
      <t>テキ</t>
    </rPh>
    <phoneticPr fontId="29"/>
  </si>
  <si>
    <t>説明画像の作成（敵との戦闘）</t>
    <rPh sb="0" eb="4">
      <t>セツメイガゾウ</t>
    </rPh>
    <rPh sb="5" eb="7">
      <t>サクセイ</t>
    </rPh>
    <rPh sb="8" eb="9">
      <t>テキ</t>
    </rPh>
    <rPh sb="11" eb="13">
      <t>セントウ</t>
    </rPh>
    <phoneticPr fontId="29"/>
  </si>
  <si>
    <t>楽器のモデルの用意</t>
    <rPh sb="0" eb="2">
      <t>ガッキ</t>
    </rPh>
    <rPh sb="7" eb="9">
      <t>ヨウイ</t>
    </rPh>
    <phoneticPr fontId="29"/>
  </si>
  <si>
    <t>ロッカーのモデルの用意</t>
    <rPh sb="9" eb="11">
      <t>ヨウイ</t>
    </rPh>
    <phoneticPr fontId="29"/>
  </si>
  <si>
    <t>懐中電灯のモデルの用意</t>
    <rPh sb="0" eb="4">
      <t>カイチュウデントウ</t>
    </rPh>
    <rPh sb="9" eb="11">
      <t>ヨウイ</t>
    </rPh>
    <phoneticPr fontId="29"/>
  </si>
  <si>
    <t>設置型照明のモデルの用意</t>
    <rPh sb="0" eb="5">
      <t>セッチガタショウメイ</t>
    </rPh>
    <rPh sb="10" eb="12">
      <t>ヨウイ</t>
    </rPh>
    <phoneticPr fontId="29"/>
  </si>
  <si>
    <t>照明のモデルの用意</t>
    <rPh sb="0" eb="2">
      <t>ショウメイ</t>
    </rPh>
    <rPh sb="7" eb="9">
      <t>ヨウイ</t>
    </rPh>
    <phoneticPr fontId="29"/>
  </si>
  <si>
    <t>本棚のモデルの用意</t>
    <rPh sb="0" eb="2">
      <t>ホンダナ</t>
    </rPh>
    <rPh sb="7" eb="9">
      <t>ヨウイ</t>
    </rPh>
    <phoneticPr fontId="29"/>
  </si>
  <si>
    <t>監視カメラのモデルの用意</t>
    <rPh sb="0" eb="2">
      <t>カンシ</t>
    </rPh>
    <rPh sb="10" eb="12">
      <t>ヨウイ</t>
    </rPh>
    <phoneticPr fontId="29"/>
  </si>
  <si>
    <t>モニターのモデルの用意</t>
    <rPh sb="9" eb="11">
      <t>ヨウイ</t>
    </rPh>
    <phoneticPr fontId="29"/>
  </si>
  <si>
    <t>本のモデルの用意</t>
    <rPh sb="0" eb="1">
      <t>ホン</t>
    </rPh>
    <rPh sb="6" eb="8">
      <t>ヨウイ</t>
    </rPh>
    <phoneticPr fontId="29"/>
  </si>
  <si>
    <t>素材関連（モデル）</t>
    <rPh sb="0" eb="2">
      <t>ソザイ</t>
    </rPh>
    <rPh sb="2" eb="4">
      <t>カンレン</t>
    </rPh>
    <phoneticPr fontId="29"/>
  </si>
  <si>
    <t>素材関連（アニメーション）</t>
    <rPh sb="0" eb="2">
      <t>ソザイ</t>
    </rPh>
    <rPh sb="2" eb="4">
      <t>カンレン</t>
    </rPh>
    <phoneticPr fontId="29"/>
  </si>
  <si>
    <t>敵歩行アニメーションの用意</t>
    <rPh sb="0" eb="1">
      <t>テキ</t>
    </rPh>
    <rPh sb="1" eb="3">
      <t>ホコウ</t>
    </rPh>
    <rPh sb="11" eb="13">
      <t>ヨウイ</t>
    </rPh>
    <phoneticPr fontId="29"/>
  </si>
  <si>
    <t>敵攻撃アニメーションの用意</t>
    <rPh sb="0" eb="1">
      <t>テキ</t>
    </rPh>
    <rPh sb="1" eb="3">
      <t>コウゲキ</t>
    </rPh>
    <rPh sb="11" eb="13">
      <t>ヨウイ</t>
    </rPh>
    <phoneticPr fontId="29"/>
  </si>
  <si>
    <t>敵ダメージアニメーションの用意</t>
    <rPh sb="0" eb="1">
      <t>テキ</t>
    </rPh>
    <rPh sb="13" eb="15">
      <t>ヨウイ</t>
    </rPh>
    <phoneticPr fontId="29"/>
  </si>
  <si>
    <t>敵死亡アニメーションの用意</t>
    <rPh sb="0" eb="1">
      <t>テキ</t>
    </rPh>
    <rPh sb="1" eb="3">
      <t>シボウ</t>
    </rPh>
    <rPh sb="11" eb="13">
      <t>ヨウイ</t>
    </rPh>
    <phoneticPr fontId="29"/>
  </si>
  <si>
    <t>素材関連（SE）</t>
    <rPh sb="0" eb="2">
      <t>ソザイ</t>
    </rPh>
    <rPh sb="2" eb="4">
      <t>カンレン</t>
    </rPh>
    <phoneticPr fontId="29"/>
  </si>
  <si>
    <t>主人公待機アニメーションの用意</t>
    <rPh sb="0" eb="3">
      <t>シュジンコウ</t>
    </rPh>
    <rPh sb="3" eb="5">
      <t>タイキ</t>
    </rPh>
    <rPh sb="13" eb="15">
      <t>ヨウイ</t>
    </rPh>
    <phoneticPr fontId="29"/>
  </si>
  <si>
    <t>主人公歩行アニメーションの用意</t>
    <rPh sb="0" eb="3">
      <t>シュジンコウ</t>
    </rPh>
    <rPh sb="3" eb="5">
      <t>ホコウ</t>
    </rPh>
    <rPh sb="13" eb="15">
      <t>ヨウイ</t>
    </rPh>
    <phoneticPr fontId="29"/>
  </si>
  <si>
    <t>主人公ジャンプアニメーションの用意</t>
    <rPh sb="0" eb="3">
      <t>シュジンコウ</t>
    </rPh>
    <rPh sb="15" eb="17">
      <t>ヨウイ</t>
    </rPh>
    <phoneticPr fontId="29"/>
  </si>
  <si>
    <t>主人公懐中電灯を構えるモーションの用意</t>
    <rPh sb="0" eb="3">
      <t>シュジンコウ</t>
    </rPh>
    <rPh sb="3" eb="7">
      <t>カイチュウデントウ</t>
    </rPh>
    <rPh sb="8" eb="9">
      <t>カマ</t>
    </rPh>
    <rPh sb="17" eb="19">
      <t>ヨウイ</t>
    </rPh>
    <phoneticPr fontId="29"/>
  </si>
  <si>
    <t>主人公インタラクトアニメーションの用意</t>
    <rPh sb="0" eb="3">
      <t>シュジンコウ</t>
    </rPh>
    <rPh sb="17" eb="19">
      <t>ヨウイ</t>
    </rPh>
    <phoneticPr fontId="29"/>
  </si>
  <si>
    <t>主人公ダメージアニメーションの用意</t>
    <rPh sb="0" eb="3">
      <t>シュジンコウ</t>
    </rPh>
    <rPh sb="15" eb="17">
      <t>ヨウイ</t>
    </rPh>
    <phoneticPr fontId="29"/>
  </si>
  <si>
    <t>主人公死亡アニメーションの用意</t>
    <rPh sb="0" eb="3">
      <t>シュジンコウ</t>
    </rPh>
    <rPh sb="3" eb="5">
      <t>シボウ</t>
    </rPh>
    <rPh sb="13" eb="15">
      <t>ヨウイ</t>
    </rPh>
    <phoneticPr fontId="29"/>
  </si>
  <si>
    <t>主人公の足音の用意</t>
    <rPh sb="0" eb="3">
      <t>シュジンコウ</t>
    </rPh>
    <rPh sb="4" eb="6">
      <t>アシオト</t>
    </rPh>
    <rPh sb="7" eb="9">
      <t>ヨウイ</t>
    </rPh>
    <phoneticPr fontId="29"/>
  </si>
  <si>
    <t>主人公ダッシュアニメーションの用意</t>
    <rPh sb="0" eb="3">
      <t>シュジンコウ</t>
    </rPh>
    <rPh sb="15" eb="17">
      <t>ヨウイ</t>
    </rPh>
    <phoneticPr fontId="29"/>
  </si>
  <si>
    <t>ダッシュの実装</t>
    <rPh sb="5" eb="7">
      <t>ジッソウ</t>
    </rPh>
    <phoneticPr fontId="29"/>
  </si>
  <si>
    <t>主人公の走行音の用意</t>
    <rPh sb="0" eb="3">
      <t>シュジンコウ</t>
    </rPh>
    <rPh sb="4" eb="7">
      <t>ソウコウオン</t>
    </rPh>
    <rPh sb="8" eb="10">
      <t>ヨウイ</t>
    </rPh>
    <phoneticPr fontId="29"/>
  </si>
  <si>
    <t>主人公ダメージ音の用意</t>
    <rPh sb="0" eb="3">
      <t>シュジンコウ</t>
    </rPh>
    <rPh sb="7" eb="8">
      <t>オン</t>
    </rPh>
    <rPh sb="9" eb="11">
      <t>ヨウイ</t>
    </rPh>
    <phoneticPr fontId="29"/>
  </si>
  <si>
    <t>懐中電灯のON/OFF音の用意</t>
    <rPh sb="0" eb="4">
      <t>カイチュウデントウ</t>
    </rPh>
    <rPh sb="11" eb="12">
      <t>オン</t>
    </rPh>
    <rPh sb="13" eb="15">
      <t>ヨウイ</t>
    </rPh>
    <phoneticPr fontId="29"/>
  </si>
  <si>
    <t>アイテムの入手音の用意</t>
    <rPh sb="5" eb="8">
      <t>ニュウシュオン</t>
    </rPh>
    <rPh sb="9" eb="11">
      <t>ヨウイ</t>
    </rPh>
    <phoneticPr fontId="29"/>
  </si>
  <si>
    <t>スイッチの効果音の用意</t>
    <rPh sb="5" eb="8">
      <t>コウカオン</t>
    </rPh>
    <rPh sb="9" eb="11">
      <t>ヨウイ</t>
    </rPh>
    <phoneticPr fontId="29"/>
  </si>
  <si>
    <t>ドアの開閉音の用意</t>
    <rPh sb="3" eb="6">
      <t>カイヘイオン</t>
    </rPh>
    <rPh sb="7" eb="9">
      <t>ヨウイ</t>
    </rPh>
    <phoneticPr fontId="29"/>
  </si>
  <si>
    <t>敵のダメージ音の用意</t>
    <rPh sb="0" eb="1">
      <t>テキ</t>
    </rPh>
    <rPh sb="6" eb="7">
      <t>オン</t>
    </rPh>
    <rPh sb="8" eb="10">
      <t>ヨウイ</t>
    </rPh>
    <phoneticPr fontId="29"/>
  </si>
  <si>
    <t>敵の足音の用意</t>
    <rPh sb="0" eb="1">
      <t>テキ</t>
    </rPh>
    <rPh sb="2" eb="4">
      <t>アシオト</t>
    </rPh>
    <rPh sb="5" eb="7">
      <t>ヨウイ</t>
    </rPh>
    <phoneticPr fontId="29"/>
  </si>
  <si>
    <t>敵の唸り声の用意</t>
    <rPh sb="0" eb="1">
      <t>テキ</t>
    </rPh>
    <rPh sb="2" eb="3">
      <t>ウナ</t>
    </rPh>
    <rPh sb="4" eb="5">
      <t>ゴエ</t>
    </rPh>
    <rPh sb="6" eb="8">
      <t>ヨウイ</t>
    </rPh>
    <phoneticPr fontId="29"/>
  </si>
  <si>
    <t>楽器の音の用意</t>
    <rPh sb="0" eb="2">
      <t>ガッキ</t>
    </rPh>
    <rPh sb="3" eb="4">
      <t>オト</t>
    </rPh>
    <rPh sb="5" eb="7">
      <t>ヨウイ</t>
    </rPh>
    <phoneticPr fontId="29"/>
  </si>
  <si>
    <t>BGMの用意</t>
    <rPh sb="4" eb="6">
      <t>ヨウイ</t>
    </rPh>
    <phoneticPr fontId="29"/>
  </si>
  <si>
    <t>素材関連（２D画像）</t>
    <rPh sb="0" eb="2">
      <t>ソザイ</t>
    </rPh>
    <rPh sb="2" eb="4">
      <t>カンレン</t>
    </rPh>
    <rPh sb="7" eb="9">
      <t>ガゾウ</t>
    </rPh>
    <phoneticPr fontId="29"/>
  </si>
  <si>
    <t>音楽室のヒント画像の作成</t>
    <rPh sb="0" eb="3">
      <t>オンガクシツ</t>
    </rPh>
    <rPh sb="7" eb="9">
      <t>ガゾウ</t>
    </rPh>
    <rPh sb="10" eb="12">
      <t>サクセイ</t>
    </rPh>
    <phoneticPr fontId="29"/>
  </si>
  <si>
    <t>図書室で使う番号の画像の作成</t>
    <rPh sb="0" eb="3">
      <t>トショシツ</t>
    </rPh>
    <rPh sb="4" eb="5">
      <t>ツカ</t>
    </rPh>
    <rPh sb="6" eb="8">
      <t>バンゴウ</t>
    </rPh>
    <rPh sb="9" eb="11">
      <t>ガゾウ</t>
    </rPh>
    <rPh sb="12" eb="14">
      <t>サクセイ</t>
    </rPh>
    <phoneticPr fontId="29"/>
  </si>
  <si>
    <t>アイテムアイコンの作成</t>
    <rPh sb="9" eb="11">
      <t>サクセイ</t>
    </rPh>
    <phoneticPr fontId="29"/>
  </si>
  <si>
    <t>HPゲージの画像の作成</t>
    <rPh sb="6" eb="8">
      <t>ガゾウ</t>
    </rPh>
    <rPh sb="9" eb="11">
      <t>サクセイ</t>
    </rPh>
    <phoneticPr fontId="29"/>
  </si>
  <si>
    <t>バッテリーの表示画像の作成</t>
    <rPh sb="6" eb="8">
      <t>ヒョウジ</t>
    </rPh>
    <rPh sb="8" eb="10">
      <t>ガゾウ</t>
    </rPh>
    <rPh sb="11" eb="13">
      <t>サクセイ</t>
    </rPh>
    <phoneticPr fontId="29"/>
  </si>
  <si>
    <t>ボタンの画像の作成</t>
    <rPh sb="4" eb="6">
      <t>ガゾウ</t>
    </rPh>
    <rPh sb="7" eb="9">
      <t>サクセイ</t>
    </rPh>
    <phoneticPr fontId="29"/>
  </si>
  <si>
    <t>素材関連（エフェクト）</t>
    <rPh sb="0" eb="2">
      <t>ソザイ</t>
    </rPh>
    <rPh sb="2" eb="4">
      <t>カンレン</t>
    </rPh>
    <phoneticPr fontId="29"/>
  </si>
  <si>
    <t>敵の消滅エフェクトの用意</t>
    <rPh sb="0" eb="1">
      <t>テキ</t>
    </rPh>
    <rPh sb="2" eb="4">
      <t>ショウメツ</t>
    </rPh>
    <rPh sb="10" eb="12">
      <t>ヨウイ</t>
    </rPh>
    <phoneticPr fontId="29"/>
  </si>
  <si>
    <t>ポーズ画面</t>
    <rPh sb="3" eb="5">
      <t>ガメン</t>
    </rPh>
    <phoneticPr fontId="29"/>
  </si>
  <si>
    <t>素材の組み込み</t>
    <rPh sb="0" eb="2">
      <t>ソザイ</t>
    </rPh>
    <rPh sb="3" eb="4">
      <t>ク</t>
    </rPh>
    <rPh sb="5" eb="6">
      <t>コ</t>
    </rPh>
    <phoneticPr fontId="29"/>
  </si>
  <si>
    <t>主人公のモデルのインポート</t>
    <rPh sb="0" eb="3">
      <t>シュジンコウ</t>
    </rPh>
    <phoneticPr fontId="29"/>
  </si>
  <si>
    <t>主人公のアニメーション適用</t>
    <rPh sb="0" eb="3">
      <t>シュジンコウ</t>
    </rPh>
    <rPh sb="11" eb="13">
      <t>テキヨウ</t>
    </rPh>
    <phoneticPr fontId="29"/>
  </si>
  <si>
    <t>敵のモデルのインポート</t>
    <rPh sb="0" eb="1">
      <t>テキ</t>
    </rPh>
    <phoneticPr fontId="29"/>
  </si>
  <si>
    <t>敵のアニメーション適用</t>
    <rPh sb="0" eb="1">
      <t>テキ</t>
    </rPh>
    <rPh sb="9" eb="11">
      <t>テキヨウ</t>
    </rPh>
    <phoneticPr fontId="29"/>
  </si>
  <si>
    <t>オブジェクトのモデルのインポート</t>
    <phoneticPr fontId="29"/>
  </si>
  <si>
    <t>主人公のSE適用</t>
    <rPh sb="0" eb="3">
      <t>シュジンコウ</t>
    </rPh>
    <rPh sb="6" eb="8">
      <t>テキヨウ</t>
    </rPh>
    <phoneticPr fontId="29"/>
  </si>
  <si>
    <t>敵のSE適用</t>
    <rPh sb="0" eb="1">
      <t>テキ</t>
    </rPh>
    <rPh sb="4" eb="6">
      <t>テキヨウ</t>
    </rPh>
    <phoneticPr fontId="29"/>
  </si>
  <si>
    <t>オブジェクトのSE適用</t>
    <rPh sb="9" eb="11">
      <t>テキヨウ</t>
    </rPh>
    <phoneticPr fontId="29"/>
  </si>
  <si>
    <t>敵のエフェクト適用</t>
    <rPh sb="0" eb="1">
      <t>テキ</t>
    </rPh>
    <rPh sb="7" eb="9">
      <t>テキヨウ</t>
    </rPh>
    <phoneticPr fontId="29"/>
  </si>
  <si>
    <t>UIの配置</t>
    <rPh sb="3" eb="5">
      <t>ハイチ</t>
    </rPh>
    <phoneticPr fontId="29"/>
  </si>
  <si>
    <t>ゲーム終了処理の実装</t>
    <rPh sb="3" eb="5">
      <t>シュウリョウ</t>
    </rPh>
    <rPh sb="5" eb="7">
      <t>ショリ</t>
    </rPh>
    <rPh sb="8" eb="10">
      <t>ジッソウ</t>
    </rPh>
    <phoneticPr fontId="29"/>
  </si>
  <si>
    <t>導入画面への遷移の実装</t>
    <rPh sb="0" eb="2">
      <t>ドウニュウ</t>
    </rPh>
    <rPh sb="2" eb="4">
      <t>ガメン</t>
    </rPh>
    <rPh sb="6" eb="8">
      <t>センイ</t>
    </rPh>
    <rPh sb="9" eb="11">
      <t>ジッソウ</t>
    </rPh>
    <phoneticPr fontId="29"/>
  </si>
  <si>
    <t>ゲーム画面への遷移の実装</t>
    <rPh sb="3" eb="5">
      <t>ガメン</t>
    </rPh>
    <rPh sb="7" eb="9">
      <t>センイ</t>
    </rPh>
    <rPh sb="10" eb="12">
      <t>ジッソウ</t>
    </rPh>
    <phoneticPr fontId="29"/>
  </si>
  <si>
    <t>タイトル画面に遷移の実装</t>
    <rPh sb="4" eb="6">
      <t>ガメン</t>
    </rPh>
    <rPh sb="7" eb="9">
      <t>センイ</t>
    </rPh>
    <rPh sb="10" eb="12">
      <t>ジッソウ</t>
    </rPh>
    <phoneticPr fontId="29"/>
  </si>
  <si>
    <t>アルファ版提出</t>
    <rPh sb="4" eb="5">
      <t>バン</t>
    </rPh>
    <rPh sb="5" eb="7">
      <t>テイシュツ</t>
    </rPh>
    <phoneticPr fontId="29"/>
  </si>
  <si>
    <t>ベータ版提出</t>
    <rPh sb="3" eb="4">
      <t>バン</t>
    </rPh>
    <rPh sb="4" eb="6">
      <t>テイシュツ</t>
    </rPh>
    <phoneticPr fontId="29"/>
  </si>
  <si>
    <t>試遊会</t>
    <rPh sb="0" eb="3">
      <t>シユウカイ</t>
    </rPh>
    <phoneticPr fontId="29"/>
  </si>
  <si>
    <t>リリース版提出</t>
    <rPh sb="4" eb="5">
      <t>バン</t>
    </rPh>
    <rPh sb="5" eb="7">
      <t>テイシュツ</t>
    </rPh>
    <phoneticPr fontId="29"/>
  </si>
  <si>
    <t>冬休み</t>
    <rPh sb="0" eb="2">
      <t>フユヤス</t>
    </rPh>
    <phoneticPr fontId="29"/>
  </si>
  <si>
    <t>復帰処理の実装</t>
    <rPh sb="0" eb="2">
      <t>フッキ</t>
    </rPh>
    <rPh sb="2" eb="4">
      <t>ショリ</t>
    </rPh>
    <rPh sb="5" eb="7">
      <t>ジッソウ</t>
    </rPh>
    <phoneticPr fontId="29"/>
  </si>
  <si>
    <t>テストプレイ（試遊会）</t>
    <rPh sb="7" eb="10">
      <t>シユウカイ</t>
    </rPh>
    <phoneticPr fontId="29"/>
  </si>
  <si>
    <t>年末バイト</t>
    <rPh sb="0" eb="2">
      <t>ネンマツ</t>
    </rPh>
    <phoneticPr fontId="29"/>
  </si>
  <si>
    <t>文化祭</t>
    <rPh sb="0" eb="3">
      <t>ブンカサイ</t>
    </rPh>
    <phoneticPr fontId="29"/>
  </si>
  <si>
    <t>検定日</t>
    <rPh sb="0" eb="3">
      <t>ケンテイビ</t>
    </rPh>
    <phoneticPr fontId="29"/>
  </si>
  <si>
    <t>期末テスト</t>
    <rPh sb="0" eb="2">
      <t>キマツ</t>
    </rPh>
    <phoneticPr fontId="29"/>
  </si>
  <si>
    <t>プロジェクト主任　神谷　倖太郎</t>
    <rPh sb="9" eb="11">
      <t>カミタニ</t>
    </rPh>
    <rPh sb="12" eb="13">
      <t>コウ</t>
    </rPh>
    <rPh sb="13" eb="15">
      <t>タロウ</t>
    </rPh>
    <phoneticPr fontId="29"/>
  </si>
  <si>
    <t>NIGHTMARE'S LIGHT スケジュール</t>
    <phoneticPr fontId="29"/>
  </si>
  <si>
    <t>神谷</t>
    <rPh sb="0" eb="2">
      <t>カミタニ</t>
    </rPh>
    <phoneticPr fontId="2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</si>
</sst>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yyyy/m/d"/>
    <numFmt numFmtId="180" formatCode="d"/>
  </numFmts>
  <fonts count="41" x14ac:knownFonts="1">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u/>
      <sz val="11"/>
      <color theme="11"/>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b/>
      <sz val="20"/>
      <color theme="4" tint="-0.249977111117893"/>
      <name val="Meiryo UI"/>
      <family val="2"/>
    </font>
    <font>
      <sz val="10"/>
      <name val="Meiryo UI"/>
      <family val="2"/>
    </font>
    <font>
      <b/>
      <sz val="11"/>
      <name val="Meiryo UI"/>
      <family val="2"/>
    </font>
    <font>
      <sz val="9"/>
      <name val="Meiryo UI"/>
      <family val="2"/>
    </font>
    <font>
      <b/>
      <sz val="9"/>
      <color theme="0"/>
      <name val="Meiryo UI"/>
      <family val="2"/>
    </font>
    <font>
      <sz val="8"/>
      <color theme="0"/>
      <name val="Meiryo UI"/>
      <family val="2"/>
    </font>
    <font>
      <sz val="11"/>
      <name val="Meiryo UI"/>
      <family val="2"/>
    </font>
    <font>
      <i/>
      <sz val="9"/>
      <color theme="1"/>
      <name val="Meiryo UI"/>
      <family val="2"/>
    </font>
    <font>
      <sz val="10"/>
      <color theme="1" tint="0.499984740745262"/>
      <name val="Meiryo UI"/>
      <family val="2"/>
    </font>
    <font>
      <b/>
      <sz val="11"/>
      <color theme="1" tint="0.499984740745262"/>
      <name val="Meiryo UI"/>
      <family val="2"/>
    </font>
    <font>
      <sz val="6"/>
      <name val="ＭＳ Ｐゴシック"/>
      <family val="3"/>
      <charset val="128"/>
    </font>
    <font>
      <sz val="10"/>
      <name val="Meiryo UI"/>
      <family val="3"/>
      <charset val="128"/>
    </font>
    <font>
      <b/>
      <sz val="12"/>
      <color theme="1" tint="0.34998626667073579"/>
      <name val="Meiryo UI"/>
      <family val="3"/>
      <charset val="128"/>
    </font>
    <font>
      <b/>
      <sz val="10"/>
      <name val="Meiryo UI"/>
      <family val="3"/>
      <charset val="128"/>
    </font>
    <font>
      <sz val="11"/>
      <name val="Meiryo UI"/>
      <family val="3"/>
      <charset val="128"/>
    </font>
    <font>
      <sz val="11"/>
      <color theme="1" tint="0.499984740745262"/>
      <name val="Meiryo UI"/>
      <family val="3"/>
      <charset val="128"/>
    </font>
    <font>
      <b/>
      <sz val="16"/>
      <color theme="4" tint="-0.249977111117893"/>
      <name val="Meiryo UI"/>
      <family val="3"/>
      <charset val="128"/>
    </font>
    <font>
      <sz val="20"/>
      <name val="Meiryo UI"/>
      <family val="3"/>
      <charset val="128"/>
    </font>
    <font>
      <sz val="11"/>
      <color rgb="FF1D2129"/>
      <name val="Meiryo UI"/>
      <family val="3"/>
      <charset val="128"/>
    </font>
    <font>
      <sz val="11"/>
      <color theme="1"/>
      <name val="Meiryo UI"/>
      <family val="3"/>
      <charset val="128"/>
    </font>
    <font>
      <u/>
      <sz val="11"/>
      <color indexed="12"/>
      <name val="Meiryo UI"/>
      <family val="3"/>
      <charset val="128"/>
    </font>
    <font>
      <sz val="8"/>
      <color rgb="FFFFC000"/>
      <name val="Meiryo UI"/>
      <family val="2"/>
    </font>
  </fonts>
  <fills count="5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rgb="FFEAECAC"/>
        <bgColor indexed="64"/>
      </patternFill>
    </fill>
    <fill>
      <patternFill patternType="solid">
        <fgColor rgb="FFEBE9DD"/>
        <bgColor indexed="64"/>
      </patternFill>
    </fill>
    <fill>
      <patternFill patternType="solid">
        <fgColor rgb="FFFFFFFF"/>
        <bgColor indexed="64"/>
      </patternFill>
    </fill>
    <fill>
      <patternFill patternType="solid">
        <fgColor rgb="FFF6CAF7"/>
        <bgColor indexed="64"/>
      </patternFill>
    </fill>
    <fill>
      <patternFill patternType="solid">
        <fgColor rgb="FFF9E7F9"/>
        <bgColor indexed="64"/>
      </patternFill>
    </fill>
    <fill>
      <patternFill patternType="solid">
        <fgColor theme="9" tint="-0.249977111117893"/>
        <bgColor indexed="64"/>
      </patternFill>
    </fill>
    <fill>
      <patternFill patternType="solid">
        <fgColor theme="0"/>
        <bgColor indexed="64"/>
      </patternFill>
    </fill>
    <fill>
      <patternFill patternType="solid">
        <fgColor theme="8"/>
        <bgColor indexed="64"/>
      </patternFill>
    </fill>
  </fills>
  <borders count="25">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ck">
        <color auto="1"/>
      </bottom>
      <diagonal/>
    </border>
    <border>
      <left style="thick">
        <color theme="1"/>
      </left>
      <right/>
      <top style="thick">
        <color theme="1"/>
      </top>
      <bottom style="thin">
        <color theme="0" tint="-0.34998626667073579"/>
      </bottom>
      <diagonal/>
    </border>
    <border>
      <left/>
      <right/>
      <top style="thick">
        <color theme="1"/>
      </top>
      <bottom style="thin">
        <color theme="0" tint="-0.34998626667073579"/>
      </bottom>
      <diagonal/>
    </border>
    <border>
      <left/>
      <right style="thick">
        <color theme="1"/>
      </right>
      <top style="thick">
        <color theme="1"/>
      </top>
      <bottom style="thin">
        <color theme="0" tint="-0.34998626667073579"/>
      </bottom>
      <diagonal/>
    </border>
    <border>
      <left/>
      <right/>
      <top style="thick">
        <color auto="1"/>
      </top>
      <bottom style="thick">
        <color theme="1"/>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79"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10" borderId="0" applyNumberFormat="0" applyBorder="0" applyAlignment="0" applyProtection="0"/>
    <xf numFmtId="0" fontId="3" fillId="11" borderId="0" applyNumberFormat="0" applyBorder="0" applyAlignment="0" applyProtection="0"/>
    <xf numFmtId="0" fontId="14" fillId="12" borderId="0" applyNumberFormat="0" applyBorder="0" applyAlignment="0" applyProtection="0"/>
    <xf numFmtId="0" fontId="12" fillId="13" borderId="11" applyNumberFormat="0" applyAlignment="0" applyProtection="0"/>
    <xf numFmtId="0" fontId="15" fillId="14" borderId="12" applyNumberFormat="0" applyAlignment="0" applyProtection="0"/>
    <xf numFmtId="0" fontId="4" fillId="14" borderId="11" applyNumberFormat="0" applyAlignment="0" applyProtection="0"/>
    <xf numFmtId="0" fontId="13" fillId="0" borderId="13" applyNumberFormat="0" applyFill="0" applyAlignment="0" applyProtection="0"/>
    <xf numFmtId="0" fontId="5" fillId="15" borderId="14" applyNumberFormat="0" applyAlignment="0" applyProtection="0"/>
    <xf numFmtId="0" fontId="18" fillId="0" borderId="0" applyNumberFormat="0" applyFill="0" applyBorder="0" applyAlignment="0" applyProtection="0"/>
    <xf numFmtId="0" fontId="1" fillId="16" borderId="15" applyNumberFormat="0" applyFont="0" applyAlignment="0" applyProtection="0"/>
    <xf numFmtId="0" fontId="6" fillId="0" borderId="0" applyNumberFormat="0" applyFill="0" applyBorder="0" applyAlignment="0" applyProtection="0"/>
    <xf numFmtId="0" fontId="17" fillId="0" borderId="16" applyNumberFormat="0" applyFill="0" applyAlignment="0" applyProtection="0"/>
    <xf numFmtId="0" fontId="2"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cellStyleXfs>
  <cellXfs count="143">
    <xf numFmtId="0" fontId="0" fillId="0" borderId="0" xfId="0"/>
    <xf numFmtId="0" fontId="0" fillId="0" borderId="0" xfId="0" applyAlignment="1">
      <alignment vertical="center"/>
    </xf>
    <xf numFmtId="0" fontId="0" fillId="0" borderId="0" xfId="0" applyAlignment="1">
      <alignment horizontal="center"/>
    </xf>
    <xf numFmtId="0" fontId="0" fillId="0" borderId="3" xfId="0"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3"/>
    <xf numFmtId="0" fontId="2" fillId="0" borderId="0" xfId="3" applyAlignment="1">
      <alignment wrapText="1"/>
    </xf>
    <xf numFmtId="0" fontId="0" fillId="0" borderId="0" xfId="0" applyAlignment="1">
      <alignment wrapText="1"/>
    </xf>
    <xf numFmtId="0" fontId="16" fillId="0" borderId="0" xfId="5" applyAlignment="1">
      <alignment horizontal="left"/>
    </xf>
    <xf numFmtId="0" fontId="9" fillId="0" borderId="0" xfId="7">
      <alignment vertical="top"/>
    </xf>
    <xf numFmtId="0" fontId="1" fillId="6" borderId="2" xfId="11" applyFill="1">
      <alignment horizontal="center" vertical="center"/>
    </xf>
    <xf numFmtId="0" fontId="1" fillId="3" borderId="2" xfId="11" applyFill="1">
      <alignment horizontal="center" vertical="center"/>
    </xf>
    <xf numFmtId="0" fontId="1" fillId="4" borderId="2" xfId="11" applyFill="1">
      <alignment horizontal="center" vertical="center"/>
    </xf>
    <xf numFmtId="0" fontId="1" fillId="7" borderId="2" xfId="11" applyFill="1">
      <alignment horizontal="center" vertical="center"/>
    </xf>
    <xf numFmtId="0" fontId="1" fillId="0" borderId="2" xfId="11">
      <alignment horizontal="center" vertical="center"/>
    </xf>
    <xf numFmtId="0" fontId="1" fillId="3" borderId="2" xfId="12" applyFill="1">
      <alignment horizontal="left" vertical="center" indent="2"/>
    </xf>
    <xf numFmtId="0" fontId="1" fillId="7" borderId="2" xfId="12" applyFill="1">
      <alignment horizontal="left" vertical="center" indent="2"/>
    </xf>
    <xf numFmtId="0" fontId="1" fillId="0" borderId="2" xfId="12">
      <alignment horizontal="left" vertical="center" indent="2"/>
    </xf>
    <xf numFmtId="0" fontId="0" fillId="0" borderId="10" xfId="0" applyBorder="1"/>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vertical="center"/>
    </xf>
    <xf numFmtId="0" fontId="21" fillId="0" borderId="0" xfId="0" applyFont="1"/>
    <xf numFmtId="0" fontId="23" fillId="9" borderId="1" xfId="0" applyFont="1" applyFill="1" applyBorder="1" applyAlignment="1">
      <alignment horizontal="left" vertical="center" indent="1"/>
    </xf>
    <xf numFmtId="0" fontId="23" fillId="9" borderId="1" xfId="0" applyFont="1" applyFill="1" applyBorder="1" applyAlignment="1">
      <alignment horizontal="center" vertical="center" wrapText="1"/>
    </xf>
    <xf numFmtId="0" fontId="24" fillId="8" borderId="8" xfId="0" applyFont="1" applyFill="1" applyBorder="1" applyAlignment="1">
      <alignment horizontal="center" vertical="center" shrinkToFit="1"/>
    </xf>
    <xf numFmtId="0" fontId="17" fillId="6" borderId="2" xfId="0" applyFont="1" applyFill="1" applyBorder="1" applyAlignment="1">
      <alignment horizontal="left" vertical="center" indent="1"/>
    </xf>
    <xf numFmtId="9" fontId="25" fillId="6" borderId="2" xfId="2" applyFont="1" applyFill="1" applyBorder="1" applyAlignment="1">
      <alignment horizontal="center" vertical="center"/>
    </xf>
    <xf numFmtId="0" fontId="25" fillId="0" borderId="2" xfId="0" applyFont="1" applyBorder="1" applyAlignment="1">
      <alignment horizontal="center" vertical="center"/>
    </xf>
    <xf numFmtId="9" fontId="25" fillId="3" borderId="2" xfId="2" applyFont="1" applyFill="1" applyBorder="1" applyAlignment="1">
      <alignment horizontal="center" vertical="center"/>
    </xf>
    <xf numFmtId="0" fontId="17" fillId="4" borderId="2" xfId="0" applyFont="1" applyFill="1" applyBorder="1" applyAlignment="1">
      <alignment horizontal="left" vertical="center" indent="1"/>
    </xf>
    <xf numFmtId="9" fontId="25" fillId="4" borderId="2" xfId="2" applyFont="1" applyFill="1" applyBorder="1" applyAlignment="1">
      <alignment horizontal="center" vertical="center"/>
    </xf>
    <xf numFmtId="9" fontId="25" fillId="7" borderId="2" xfId="2" applyFont="1" applyFill="1" applyBorder="1" applyAlignment="1">
      <alignment horizontal="center" vertical="center"/>
    </xf>
    <xf numFmtId="9" fontId="25" fillId="0" borderId="2" xfId="2" applyFont="1" applyBorder="1" applyAlignment="1">
      <alignment horizontal="center" vertical="center"/>
    </xf>
    <xf numFmtId="0" fontId="26" fillId="2" borderId="2" xfId="0" applyFont="1" applyFill="1" applyBorder="1" applyAlignment="1">
      <alignment horizontal="left" vertical="center" indent="1"/>
    </xf>
    <xf numFmtId="0" fontId="26" fillId="2" borderId="2" xfId="0" applyFont="1" applyFill="1" applyBorder="1" applyAlignment="1">
      <alignment horizontal="center" vertical="center"/>
    </xf>
    <xf numFmtId="9" fontId="25" fillId="2" borderId="2" xfId="2" applyFont="1" applyFill="1" applyBorder="1" applyAlignment="1">
      <alignment horizontal="center" vertical="center"/>
    </xf>
    <xf numFmtId="0" fontId="25" fillId="2" borderId="2" xfId="0" applyFont="1" applyFill="1" applyBorder="1" applyAlignment="1">
      <alignment horizontal="center" vertical="center"/>
    </xf>
    <xf numFmtId="0" fontId="28" fillId="0" borderId="0" xfId="0" applyFont="1"/>
    <xf numFmtId="0" fontId="2" fillId="0" borderId="0" xfId="0" applyFont="1" applyAlignment="1">
      <alignment horizontal="center"/>
    </xf>
    <xf numFmtId="0" fontId="27" fillId="0" borderId="0" xfId="1" applyFont="1" applyAlignment="1" applyProtection="1"/>
    <xf numFmtId="0" fontId="30" fillId="0" borderId="0" xfId="0" applyFont="1" applyAlignment="1">
      <alignment vertical="top"/>
    </xf>
    <xf numFmtId="0" fontId="30" fillId="0" borderId="0" xfId="0" applyFont="1"/>
    <xf numFmtId="0" fontId="31" fillId="0" borderId="0" xfId="0" applyFont="1" applyAlignment="1">
      <alignment horizontal="left" vertical="center"/>
    </xf>
    <xf numFmtId="0" fontId="32" fillId="0" borderId="0" xfId="0" applyFont="1" applyAlignment="1">
      <alignment horizontal="left" vertical="center"/>
    </xf>
    <xf numFmtId="0" fontId="33" fillId="0" borderId="0" xfId="0" applyFont="1" applyAlignment="1">
      <alignment vertical="top"/>
    </xf>
    <xf numFmtId="0" fontId="34" fillId="0" borderId="0" xfId="0" applyFont="1" applyAlignment="1">
      <alignment vertical="top"/>
    </xf>
    <xf numFmtId="0" fontId="30" fillId="0" borderId="0" xfId="0" applyFont="1" applyAlignment="1">
      <alignment horizontal="left" vertical="top"/>
    </xf>
    <xf numFmtId="0" fontId="35" fillId="0" borderId="0" xfId="0" applyFont="1" applyAlignment="1">
      <alignment vertical="center"/>
    </xf>
    <xf numFmtId="0" fontId="36" fillId="0" borderId="0" xfId="0" applyFont="1"/>
    <xf numFmtId="0" fontId="37" fillId="0" borderId="0" xfId="0" applyFont="1" applyAlignment="1">
      <alignment horizontal="left" vertical="top" wrapText="1" indent="1"/>
    </xf>
    <xf numFmtId="0" fontId="38" fillId="0" borderId="0" xfId="0" applyFont="1" applyAlignment="1">
      <alignment vertical="top" wrapText="1"/>
    </xf>
    <xf numFmtId="0" fontId="39" fillId="0" borderId="0" xfId="1" applyFont="1" applyAlignment="1" applyProtection="1">
      <alignment horizontal="left" vertical="top"/>
    </xf>
    <xf numFmtId="178" fontId="0" fillId="6" borderId="2" xfId="0" applyNumberFormat="1" applyFill="1" applyBorder="1" applyAlignment="1">
      <alignment horizontal="center" vertical="center"/>
    </xf>
    <xf numFmtId="178" fontId="25" fillId="6" borderId="2" xfId="0" applyNumberFormat="1" applyFont="1" applyFill="1" applyBorder="1" applyAlignment="1">
      <alignment horizontal="center" vertical="center"/>
    </xf>
    <xf numFmtId="178" fontId="1" fillId="3" borderId="2" xfId="10" applyNumberFormat="1" applyFill="1">
      <alignment horizontal="center" vertical="center"/>
    </xf>
    <xf numFmtId="178" fontId="0" fillId="4" borderId="2" xfId="0" applyNumberFormat="1" applyFill="1" applyBorder="1" applyAlignment="1">
      <alignment horizontal="center" vertical="center"/>
    </xf>
    <xf numFmtId="178" fontId="25" fillId="4" borderId="2" xfId="0" applyNumberFormat="1" applyFont="1" applyFill="1" applyBorder="1" applyAlignment="1">
      <alignment horizontal="center" vertical="center"/>
    </xf>
    <xf numFmtId="178" fontId="1" fillId="7" borderId="2" xfId="10" applyNumberFormat="1" applyFill="1">
      <alignment horizontal="center" vertical="center"/>
    </xf>
    <xf numFmtId="178" fontId="1" fillId="0" borderId="2" xfId="10" applyNumberFormat="1">
      <alignment horizontal="center" vertical="center"/>
    </xf>
    <xf numFmtId="178" fontId="27" fillId="2" borderId="2" xfId="0" applyNumberFormat="1" applyFont="1" applyFill="1" applyBorder="1" applyAlignment="1">
      <alignment horizontal="left" vertical="center"/>
    </xf>
    <xf numFmtId="178" fontId="25" fillId="2" borderId="2" xfId="0" applyNumberFormat="1" applyFont="1" applyFill="1" applyBorder="1" applyAlignment="1">
      <alignment horizontal="center" vertical="center"/>
    </xf>
    <xf numFmtId="180" fontId="22" fillId="5" borderId="6" xfId="0" applyNumberFormat="1" applyFont="1" applyFill="1" applyBorder="1" applyAlignment="1">
      <alignment horizontal="center" vertical="center"/>
    </xf>
    <xf numFmtId="180" fontId="22" fillId="5" borderId="0" xfId="0" applyNumberFormat="1" applyFont="1" applyFill="1" applyAlignment="1">
      <alignment horizontal="center" vertical="center"/>
    </xf>
    <xf numFmtId="180" fontId="22" fillId="5" borderId="7" xfId="0" applyNumberFormat="1" applyFont="1" applyFill="1" applyBorder="1" applyAlignment="1">
      <alignment horizontal="center" vertical="center"/>
    </xf>
    <xf numFmtId="0" fontId="11" fillId="0" borderId="0" xfId="1" applyProtection="1">
      <alignment vertical="top"/>
    </xf>
    <xf numFmtId="0" fontId="17" fillId="41" borderId="2" xfId="0" applyFont="1" applyFill="1" applyBorder="1" applyAlignment="1">
      <alignment horizontal="left" vertical="center" indent="1"/>
    </xf>
    <xf numFmtId="0" fontId="1" fillId="41" borderId="2" xfId="11" applyFill="1">
      <alignment horizontal="center" vertical="center"/>
    </xf>
    <xf numFmtId="9" fontId="25" fillId="41" borderId="2" xfId="2" applyFont="1" applyFill="1" applyBorder="1" applyAlignment="1">
      <alignment horizontal="center" vertical="center"/>
    </xf>
    <xf numFmtId="178" fontId="0" fillId="41" borderId="2" xfId="0" applyNumberFormat="1" applyFill="1" applyBorder="1" applyAlignment="1">
      <alignment horizontal="center" vertical="center"/>
    </xf>
    <xf numFmtId="178" fontId="25" fillId="41" borderId="2" xfId="0" applyNumberFormat="1" applyFont="1" applyFill="1" applyBorder="1" applyAlignment="1">
      <alignment horizontal="center" vertical="center"/>
    </xf>
    <xf numFmtId="0" fontId="1" fillId="42" borderId="2" xfId="12" applyFill="1">
      <alignment horizontal="left" vertical="center" indent="2"/>
    </xf>
    <xf numFmtId="0" fontId="1" fillId="42" borderId="2" xfId="11" applyFill="1">
      <alignment horizontal="center" vertical="center"/>
    </xf>
    <xf numFmtId="9" fontId="25" fillId="42" borderId="2" xfId="2" applyFont="1" applyFill="1" applyBorder="1" applyAlignment="1">
      <alignment horizontal="center" vertical="center"/>
    </xf>
    <xf numFmtId="178" fontId="1" fillId="42" borderId="2" xfId="10" applyNumberFormat="1" applyFill="1">
      <alignment horizontal="center" vertical="center"/>
    </xf>
    <xf numFmtId="0" fontId="17" fillId="43" borderId="2" xfId="0" applyFont="1" applyFill="1" applyBorder="1" applyAlignment="1">
      <alignment horizontal="left" vertical="center" indent="1"/>
    </xf>
    <xf numFmtId="0" fontId="1" fillId="43" borderId="2" xfId="11" applyFill="1">
      <alignment horizontal="center" vertical="center"/>
    </xf>
    <xf numFmtId="9" fontId="25" fillId="43" borderId="2" xfId="2" applyFont="1" applyFill="1" applyBorder="1" applyAlignment="1">
      <alignment horizontal="center" vertical="center"/>
    </xf>
    <xf numFmtId="178" fontId="0" fillId="43" borderId="2" xfId="0" applyNumberFormat="1" applyFill="1" applyBorder="1" applyAlignment="1">
      <alignment horizontal="center" vertical="center"/>
    </xf>
    <xf numFmtId="178" fontId="25" fillId="43" borderId="2" xfId="0" applyNumberFormat="1" applyFont="1" applyFill="1" applyBorder="1" applyAlignment="1">
      <alignment horizontal="center" vertical="center"/>
    </xf>
    <xf numFmtId="0" fontId="1" fillId="44" borderId="2" xfId="12" applyFill="1">
      <alignment horizontal="left" vertical="center" indent="2"/>
    </xf>
    <xf numFmtId="0" fontId="1" fillId="44" borderId="2" xfId="11" applyFill="1">
      <alignment horizontal="center" vertical="center"/>
    </xf>
    <xf numFmtId="9" fontId="25" fillId="44" borderId="2" xfId="2" applyFont="1" applyFill="1" applyBorder="1" applyAlignment="1">
      <alignment horizontal="center" vertical="center"/>
    </xf>
    <xf numFmtId="178" fontId="1" fillId="44" borderId="2" xfId="10" applyNumberFormat="1" applyFill="1">
      <alignment horizontal="center" vertical="center"/>
    </xf>
    <xf numFmtId="0" fontId="17" fillId="45" borderId="2" xfId="0" applyFont="1" applyFill="1" applyBorder="1" applyAlignment="1">
      <alignment horizontal="left" vertical="center" indent="1"/>
    </xf>
    <xf numFmtId="0" fontId="1" fillId="45" borderId="2" xfId="11" applyFill="1">
      <alignment horizontal="center" vertical="center"/>
    </xf>
    <xf numFmtId="9" fontId="25" fillId="45" borderId="2" xfId="2" applyFont="1" applyFill="1" applyBorder="1" applyAlignment="1">
      <alignment horizontal="center" vertical="center"/>
    </xf>
    <xf numFmtId="178" fontId="0" fillId="45" borderId="2" xfId="0" applyNumberFormat="1" applyFill="1" applyBorder="1" applyAlignment="1">
      <alignment horizontal="center" vertical="center"/>
    </xf>
    <xf numFmtId="178" fontId="25" fillId="45" borderId="2" xfId="0" applyNumberFormat="1" applyFont="1" applyFill="1" applyBorder="1" applyAlignment="1">
      <alignment horizontal="center" vertical="center"/>
    </xf>
    <xf numFmtId="0" fontId="1" fillId="46" borderId="2" xfId="12" applyFill="1">
      <alignment horizontal="left" vertical="center" indent="2"/>
    </xf>
    <xf numFmtId="0" fontId="1" fillId="46" borderId="2" xfId="11" applyFill="1">
      <alignment horizontal="center" vertical="center"/>
    </xf>
    <xf numFmtId="9" fontId="25" fillId="46" borderId="2" xfId="2" applyFont="1" applyFill="1" applyBorder="1" applyAlignment="1">
      <alignment horizontal="center" vertical="center"/>
    </xf>
    <xf numFmtId="178" fontId="1" fillId="46" borderId="2" xfId="10" applyNumberFormat="1" applyFill="1">
      <alignment horizontal="center" vertical="center"/>
    </xf>
    <xf numFmtId="0" fontId="17" fillId="47" borderId="2" xfId="0" applyFont="1" applyFill="1" applyBorder="1" applyAlignment="1">
      <alignment horizontal="left" vertical="center" indent="1"/>
    </xf>
    <xf numFmtId="0" fontId="1" fillId="47" borderId="2" xfId="11" applyFill="1">
      <alignment horizontal="center" vertical="center"/>
    </xf>
    <xf numFmtId="9" fontId="25" fillId="47" borderId="2" xfId="2" applyFont="1" applyFill="1" applyBorder="1" applyAlignment="1">
      <alignment horizontal="center" vertical="center"/>
    </xf>
    <xf numFmtId="178" fontId="0" fillId="47" borderId="2" xfId="0" applyNumberFormat="1" applyFill="1" applyBorder="1" applyAlignment="1">
      <alignment horizontal="center" vertical="center"/>
    </xf>
    <xf numFmtId="178" fontId="25" fillId="47" borderId="2" xfId="0" applyNumberFormat="1" applyFont="1" applyFill="1" applyBorder="1" applyAlignment="1">
      <alignment horizontal="center" vertical="center"/>
    </xf>
    <xf numFmtId="0" fontId="1" fillId="48" borderId="2" xfId="12" applyFill="1">
      <alignment horizontal="left" vertical="center" indent="2"/>
    </xf>
    <xf numFmtId="0" fontId="1" fillId="48" borderId="2" xfId="11" applyFill="1">
      <alignment horizontal="center" vertical="center"/>
    </xf>
    <xf numFmtId="9" fontId="25" fillId="48" borderId="2" xfId="2" applyFont="1" applyFill="1" applyBorder="1" applyAlignment="1">
      <alignment horizontal="center" vertical="center"/>
    </xf>
    <xf numFmtId="178" fontId="1" fillId="48" borderId="2" xfId="10" applyNumberFormat="1" applyFill="1">
      <alignment horizontal="center" vertical="center"/>
    </xf>
    <xf numFmtId="0" fontId="0" fillId="49" borderId="9" xfId="0" applyFill="1" applyBorder="1" applyAlignment="1">
      <alignment vertical="center"/>
    </xf>
    <xf numFmtId="0" fontId="17" fillId="50" borderId="2" xfId="0" applyFont="1" applyFill="1" applyBorder="1" applyAlignment="1">
      <alignment horizontal="left" vertical="center" indent="1"/>
    </xf>
    <xf numFmtId="0" fontId="1" fillId="50" borderId="2" xfId="11" applyFill="1">
      <alignment horizontal="center" vertical="center"/>
    </xf>
    <xf numFmtId="9" fontId="25" fillId="50" borderId="2" xfId="2" applyFont="1" applyFill="1" applyBorder="1" applyAlignment="1">
      <alignment horizontal="center" vertical="center"/>
    </xf>
    <xf numFmtId="178" fontId="0" fillId="50" borderId="2" xfId="0" applyNumberFormat="1" applyFill="1" applyBorder="1" applyAlignment="1">
      <alignment horizontal="center" vertical="center"/>
    </xf>
    <xf numFmtId="178" fontId="25" fillId="50" borderId="2" xfId="0" applyNumberFormat="1" applyFont="1" applyFill="1" applyBorder="1" applyAlignment="1">
      <alignment horizontal="center" vertical="center"/>
    </xf>
    <xf numFmtId="0" fontId="1" fillId="51" borderId="2" xfId="12" applyFill="1">
      <alignment horizontal="left" vertical="center" indent="2"/>
    </xf>
    <xf numFmtId="0" fontId="1" fillId="51" borderId="2" xfId="11" applyFill="1">
      <alignment horizontal="center" vertical="center"/>
    </xf>
    <xf numFmtId="9" fontId="25" fillId="51" borderId="2" xfId="2" applyFont="1" applyFill="1" applyBorder="1" applyAlignment="1">
      <alignment horizontal="center" vertical="center"/>
    </xf>
    <xf numFmtId="178" fontId="1" fillId="51" borderId="2" xfId="10" applyNumberFormat="1" applyFill="1">
      <alignment horizontal="center" vertical="center"/>
    </xf>
    <xf numFmtId="0" fontId="0" fillId="52" borderId="0" xfId="0" applyFill="1"/>
    <xf numFmtId="180" fontId="22" fillId="52" borderId="0" xfId="0" applyNumberFormat="1" applyFont="1" applyFill="1" applyAlignment="1">
      <alignment horizontal="center" vertical="center"/>
    </xf>
    <xf numFmtId="0" fontId="24" fillId="52" borderId="8" xfId="0" applyFont="1" applyFill="1" applyBorder="1" applyAlignment="1">
      <alignment horizontal="center" vertical="center" shrinkToFit="1"/>
    </xf>
    <xf numFmtId="0" fontId="0" fillId="52" borderId="9" xfId="0" applyFill="1" applyBorder="1" applyAlignment="1">
      <alignment vertical="center"/>
    </xf>
    <xf numFmtId="0" fontId="0" fillId="53" borderId="0" xfId="0" applyFill="1"/>
    <xf numFmtId="0" fontId="0" fillId="0" borderId="17" xfId="0" applyBorder="1"/>
    <xf numFmtId="0" fontId="0" fillId="0" borderId="18" xfId="0" applyBorder="1"/>
    <xf numFmtId="0" fontId="0" fillId="0" borderId="19" xfId="0" applyBorder="1"/>
    <xf numFmtId="0" fontId="0" fillId="0" borderId="20" xfId="0" applyBorder="1" applyAlignment="1">
      <alignment horizontal="center"/>
    </xf>
    <xf numFmtId="14" fontId="0" fillId="5" borderId="4" xfId="0" applyNumberFormat="1" applyFill="1" applyBorder="1" applyAlignment="1">
      <alignment horizontal="left" vertical="center" wrapText="1" indent="1"/>
    </xf>
    <xf numFmtId="14" fontId="0" fillId="5" borderId="1" xfId="0" applyNumberFormat="1" applyFill="1" applyBorder="1" applyAlignment="1">
      <alignment horizontal="left" vertical="center" wrapText="1" indent="1"/>
    </xf>
    <xf numFmtId="14" fontId="0" fillId="5" borderId="5" xfId="0" applyNumberFormat="1" applyFill="1" applyBorder="1" applyAlignment="1">
      <alignment horizontal="left" vertical="center" wrapText="1" indent="1"/>
    </xf>
    <xf numFmtId="179" fontId="1" fillId="0" borderId="3" xfId="9" applyNumberFormat="1">
      <alignment horizontal="center" vertical="center"/>
    </xf>
    <xf numFmtId="0" fontId="1" fillId="0" borderId="0" xfId="8">
      <alignment horizontal="right" indent="1"/>
    </xf>
    <xf numFmtId="0" fontId="1" fillId="0" borderId="7" xfId="8" applyBorder="1">
      <alignment horizontal="right" indent="1"/>
    </xf>
    <xf numFmtId="0" fontId="0" fillId="53" borderId="9" xfId="0" applyFill="1" applyBorder="1" applyAlignment="1">
      <alignment vertical="center"/>
    </xf>
    <xf numFmtId="0" fontId="40" fillId="8" borderId="8" xfId="0" applyFont="1" applyFill="1" applyBorder="1" applyAlignment="1">
      <alignment horizontal="center" vertical="center" shrinkToFit="1"/>
    </xf>
    <xf numFmtId="0" fontId="0" fillId="54" borderId="0" xfId="0" applyFill="1"/>
    <xf numFmtId="180" fontId="22" fillId="54" borderId="6" xfId="0" applyNumberFormat="1" applyFont="1" applyFill="1" applyBorder="1" applyAlignment="1">
      <alignment horizontal="center" vertical="center"/>
    </xf>
    <xf numFmtId="0" fontId="24" fillId="54" borderId="8" xfId="0" applyFont="1" applyFill="1" applyBorder="1" applyAlignment="1">
      <alignment horizontal="center" vertical="center" shrinkToFit="1"/>
    </xf>
    <xf numFmtId="0" fontId="0" fillId="54" borderId="9" xfId="0" applyFill="1" applyBorder="1" applyAlignment="1">
      <alignment vertical="center"/>
    </xf>
    <xf numFmtId="180" fontId="22" fillId="54" borderId="0" xfId="0" applyNumberFormat="1" applyFont="1" applyFill="1" applyAlignment="1">
      <alignment horizontal="center" vertical="center"/>
    </xf>
    <xf numFmtId="0" fontId="0" fillId="54" borderId="9" xfId="0" applyFill="1" applyBorder="1" applyAlignment="1">
      <alignment horizontal="right" vertical="center"/>
    </xf>
    <xf numFmtId="180" fontId="22" fillId="54" borderId="7" xfId="0" applyNumberFormat="1" applyFont="1" applyFill="1" applyBorder="1" applyAlignment="1">
      <alignment horizontal="center" vertical="center"/>
    </xf>
    <xf numFmtId="0" fontId="0" fillId="53" borderId="21" xfId="0" applyFill="1" applyBorder="1"/>
    <xf numFmtId="0" fontId="0" fillId="53" borderId="22" xfId="0" applyFill="1" applyBorder="1"/>
    <xf numFmtId="0" fontId="0" fillId="53" borderId="23" xfId="0" applyFill="1" applyBorder="1"/>
    <xf numFmtId="0" fontId="0" fillId="53" borderId="24" xfId="0" applyFill="1" applyBorder="1" applyAlignment="1">
      <alignment horizontal="center"/>
    </xf>
  </cellXfs>
  <cellStyles count="54">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z_非表示_テキスト" xfId="3" xr:uid="{26E66EE6-E33F-4D77-BAE4-0FB4F5BBF673}"/>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6391D789-272B-4DD2-9BF3-2CDCF610FA41}"/>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8EB8A09A-C31C-40A3-B2C1-9449520178B8}"/>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229918B6-DD13-4F5A-97B9-305F7E002AA3}"/>
    <cellStyle name="入力" xfId="21" builtinId="20" customBuiltin="1"/>
    <cellStyle name="標準" xfId="0" builtinId="0" customBuiltin="1"/>
    <cellStyle name="表示済みのハイパーリンク" xfId="13" builtinId="9" customBuiltin="1"/>
    <cellStyle name="名前" xfId="11" xr:uid="{B2D3C1EE-6B41-4801-AAFC-C2274E49E503}"/>
    <cellStyle name="良い" xfId="18" builtinId="26" customBuiltin="1"/>
  </cellStyles>
  <dxfs count="61">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60"/>
      <tableStyleElement type="headerRow" dxfId="59"/>
      <tableStyleElement type="totalRow" dxfId="58"/>
      <tableStyleElement type="firstColumn" dxfId="57"/>
      <tableStyleElement type="lastColumn" dxfId="56"/>
      <tableStyleElement type="firstRowStripe" dxfId="55"/>
      <tableStyleElement type="secondRowStripe" dxfId="54"/>
      <tableStyleElement type="firstColumnStripe" dxfId="53"/>
      <tableStyleElement type="secondColumnStripe" dxfId="5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EBE9DD"/>
      <color rgb="FFF9E7F9"/>
      <color rgb="FFF6CAF7"/>
      <color rgb="FFE8E6D8"/>
      <color rgb="FFFFFFFF"/>
      <color rgb="FFEAECAC"/>
      <color rgb="FFFFFF99"/>
      <color rgb="FFFFE1FF"/>
      <color rgb="FFFFD5FF"/>
      <color rgb="FFFFC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画像 1" descr="Vertex42 ロゴ">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C280"/>
  <sheetViews>
    <sheetView showGridLines="0" tabSelected="1" showRuler="0" topLeftCell="B1" zoomScale="66" zoomScaleNormal="10" zoomScalePageLayoutView="70" workbookViewId="0">
      <pane xSplit="6" ySplit="7" topLeftCell="H8" activePane="bottomRight" state="frozen"/>
      <selection activeCell="B1" sqref="B1"/>
      <selection pane="topRight" activeCell="I1" sqref="I1"/>
      <selection pane="bottomLeft" activeCell="B8" sqref="B8"/>
      <selection pane="bottomRight" activeCell="G1" sqref="G1:G1048576"/>
    </sheetView>
  </sheetViews>
  <sheetFormatPr defaultRowHeight="30" customHeight="1" x14ac:dyDescent="0.3"/>
  <cols>
    <col min="1" max="1" width="2.54296875" style="7" customWidth="1"/>
    <col min="2" max="2" width="33.453125" customWidth="1"/>
    <col min="3" max="3" width="8.26953125" customWidth="1"/>
    <col min="4" max="4" width="10.54296875" customWidth="1"/>
    <col min="5" max="5" width="10.1796875" style="2" customWidth="1"/>
    <col min="6" max="6" width="10.1796875" customWidth="1"/>
    <col min="7" max="7" width="6" hidden="1" customWidth="1"/>
    <col min="8" max="37" width="2.453125" customWidth="1"/>
    <col min="38" max="38" width="2.453125" style="115" customWidth="1"/>
    <col min="39" max="42" width="2.453125" customWidth="1"/>
    <col min="43" max="43" width="2.453125" style="132" customWidth="1"/>
    <col min="44" max="54" width="2.453125" customWidth="1"/>
    <col min="55" max="55" width="2.453125" style="132" customWidth="1"/>
    <col min="56" max="66" width="2.453125" customWidth="1"/>
    <col min="67" max="69" width="2.453125" style="132" customWidth="1"/>
    <col min="70" max="71" width="2.453125" customWidth="1"/>
    <col min="72" max="72" width="2.453125" style="115" customWidth="1"/>
    <col min="73" max="78" width="2.453125" customWidth="1"/>
    <col min="79" max="79" width="2.453125" style="115" customWidth="1"/>
    <col min="80" max="82" width="2.453125" customWidth="1"/>
    <col min="83" max="88" width="2.453125" style="132" customWidth="1"/>
    <col min="89" max="123" width="2.453125" customWidth="1"/>
    <col min="124" max="124" width="2.453125" style="115" customWidth="1"/>
    <col min="125" max="133" width="2.453125" customWidth="1"/>
  </cols>
  <sheetData>
    <row r="1" spans="1:133" ht="30" customHeight="1" thickBot="1" x14ac:dyDescent="0.6">
      <c r="A1" s="8" t="s">
        <v>0</v>
      </c>
      <c r="B1" s="10" t="s">
        <v>245</v>
      </c>
      <c r="C1" s="21"/>
      <c r="D1" s="22"/>
      <c r="E1" s="23"/>
      <c r="F1" s="24"/>
      <c r="G1" s="22"/>
      <c r="H1" s="25" t="s">
        <v>22</v>
      </c>
      <c r="AL1" s="119"/>
      <c r="AQ1" s="119"/>
      <c r="BC1" s="119"/>
      <c r="BO1" s="119"/>
      <c r="BP1" s="119"/>
      <c r="BQ1" s="119"/>
      <c r="BT1" s="119"/>
      <c r="CA1" s="119"/>
      <c r="CB1" s="123" t="s">
        <v>237</v>
      </c>
      <c r="CC1" s="123"/>
      <c r="CD1" s="123"/>
      <c r="CE1" s="123"/>
      <c r="CF1" s="123"/>
      <c r="CG1" s="123"/>
      <c r="CH1" s="123"/>
      <c r="CI1" s="123"/>
      <c r="CJ1" s="123"/>
      <c r="CK1" s="123"/>
      <c r="CL1" s="123"/>
      <c r="CM1" s="123"/>
      <c r="CN1" s="123"/>
      <c r="CO1" s="123"/>
      <c r="CP1" s="123"/>
      <c r="CQ1" s="123"/>
      <c r="CR1" s="123"/>
      <c r="CS1" s="123"/>
      <c r="CT1" s="123"/>
      <c r="CU1" s="123"/>
      <c r="DT1" s="119"/>
    </row>
    <row r="2" spans="1:133" ht="30" customHeight="1" thickTop="1" thickBot="1" x14ac:dyDescent="0.35">
      <c r="A2" s="7" t="s">
        <v>1</v>
      </c>
      <c r="B2" s="11" t="s">
        <v>244</v>
      </c>
      <c r="H2" s="68" t="s">
        <v>38</v>
      </c>
      <c r="AL2" s="119"/>
      <c r="AQ2" s="119"/>
      <c r="BC2" s="119"/>
      <c r="BO2" s="119"/>
      <c r="BP2" s="119"/>
      <c r="BQ2" s="119"/>
      <c r="BT2" s="119"/>
      <c r="CA2" s="119"/>
      <c r="CB2" s="120"/>
      <c r="CC2" s="121"/>
      <c r="CD2" s="121"/>
      <c r="CE2" s="142" t="s">
        <v>240</v>
      </c>
      <c r="CF2" s="142"/>
      <c r="CG2" s="142"/>
      <c r="CH2" s="142"/>
      <c r="CI2" s="142"/>
      <c r="CJ2" s="142"/>
      <c r="CK2" s="121"/>
      <c r="CL2" s="121"/>
      <c r="CM2" s="121"/>
      <c r="CN2" s="121"/>
      <c r="CO2" s="121"/>
      <c r="CP2" s="121"/>
      <c r="CQ2" s="121"/>
      <c r="CR2" s="121"/>
      <c r="CS2" s="121"/>
      <c r="CT2" s="121"/>
      <c r="CU2" s="122"/>
      <c r="DT2" s="119"/>
    </row>
    <row r="3" spans="1:133" ht="30" customHeight="1" thickTop="1" x14ac:dyDescent="0.3">
      <c r="A3" s="7" t="s">
        <v>2</v>
      </c>
      <c r="B3" s="11"/>
      <c r="C3" s="128" t="s">
        <v>16</v>
      </c>
      <c r="D3" s="129"/>
      <c r="E3" s="127">
        <v>46308</v>
      </c>
      <c r="F3" s="127"/>
      <c r="AL3" s="119" t="s">
        <v>233</v>
      </c>
      <c r="AQ3" s="119" t="s">
        <v>243</v>
      </c>
      <c r="BC3" s="119" t="s">
        <v>242</v>
      </c>
      <c r="BO3" s="119" t="s">
        <v>241</v>
      </c>
      <c r="BP3" s="119"/>
      <c r="BQ3" s="119"/>
      <c r="BT3" s="119" t="s">
        <v>234</v>
      </c>
      <c r="CA3" s="119" t="s">
        <v>235</v>
      </c>
      <c r="CE3" s="139"/>
      <c r="CF3" s="140"/>
      <c r="CG3" s="140"/>
      <c r="CH3" s="140"/>
      <c r="CI3" s="140"/>
      <c r="CJ3" s="141"/>
      <c r="DT3" s="119" t="s">
        <v>236</v>
      </c>
    </row>
    <row r="4" spans="1:133" ht="30" customHeight="1" x14ac:dyDescent="0.3">
      <c r="A4" s="8" t="s">
        <v>3</v>
      </c>
      <c r="C4" s="128" t="s">
        <v>17</v>
      </c>
      <c r="D4" s="129"/>
      <c r="E4" s="3">
        <v>1</v>
      </c>
      <c r="H4" s="124">
        <f>H5</f>
        <v>46307</v>
      </c>
      <c r="I4" s="125"/>
      <c r="J4" s="125"/>
      <c r="K4" s="125"/>
      <c r="L4" s="125"/>
      <c r="M4" s="125"/>
      <c r="N4" s="126"/>
      <c r="O4" s="124">
        <f>O5</f>
        <v>46314</v>
      </c>
      <c r="P4" s="125"/>
      <c r="Q4" s="125"/>
      <c r="R4" s="125"/>
      <c r="S4" s="125"/>
      <c r="T4" s="125"/>
      <c r="U4" s="126"/>
      <c r="V4" s="124">
        <f>V5</f>
        <v>46321</v>
      </c>
      <c r="W4" s="125"/>
      <c r="X4" s="125"/>
      <c r="Y4" s="125"/>
      <c r="Z4" s="125"/>
      <c r="AA4" s="125"/>
      <c r="AB4" s="126"/>
      <c r="AC4" s="124">
        <f>AC5</f>
        <v>46328</v>
      </c>
      <c r="AD4" s="125"/>
      <c r="AE4" s="125"/>
      <c r="AF4" s="125"/>
      <c r="AG4" s="125"/>
      <c r="AH4" s="125"/>
      <c r="AI4" s="126"/>
      <c r="AJ4" s="124">
        <f>AJ5</f>
        <v>46335</v>
      </c>
      <c r="AK4" s="125"/>
      <c r="AL4" s="125"/>
      <c r="AM4" s="125"/>
      <c r="AN4" s="125"/>
      <c r="AO4" s="125"/>
      <c r="AP4" s="126"/>
      <c r="AQ4" s="124">
        <f>AQ5</f>
        <v>46342</v>
      </c>
      <c r="AR4" s="125"/>
      <c r="AS4" s="125"/>
      <c r="AT4" s="125"/>
      <c r="AU4" s="125"/>
      <c r="AV4" s="125"/>
      <c r="AW4" s="126"/>
      <c r="AX4" s="124">
        <f>AX5</f>
        <v>46349</v>
      </c>
      <c r="AY4" s="125"/>
      <c r="AZ4" s="125"/>
      <c r="BA4" s="125"/>
      <c r="BB4" s="125"/>
      <c r="BC4" s="125"/>
      <c r="BD4" s="126"/>
      <c r="BE4" s="124">
        <f>BE5</f>
        <v>46356</v>
      </c>
      <c r="BF4" s="125"/>
      <c r="BG4" s="125"/>
      <c r="BH4" s="125"/>
      <c r="BI4" s="125"/>
      <c r="BJ4" s="125"/>
      <c r="BK4" s="126"/>
      <c r="BL4" s="124">
        <f>BL5</f>
        <v>46363</v>
      </c>
      <c r="BM4" s="125"/>
      <c r="BN4" s="125"/>
      <c r="BO4" s="125"/>
      <c r="BP4" s="125"/>
      <c r="BQ4" s="125"/>
      <c r="BR4" s="126"/>
      <c r="BS4" s="124">
        <f>BS5</f>
        <v>46370</v>
      </c>
      <c r="BT4" s="125"/>
      <c r="BU4" s="125"/>
      <c r="BV4" s="125"/>
      <c r="BW4" s="125"/>
      <c r="BX4" s="125"/>
      <c r="BY4" s="126"/>
      <c r="BZ4" s="124">
        <f>BZ5</f>
        <v>46377</v>
      </c>
      <c r="CA4" s="125"/>
      <c r="CB4" s="125"/>
      <c r="CC4" s="125"/>
      <c r="CD4" s="125"/>
      <c r="CE4" s="125"/>
      <c r="CF4" s="126"/>
      <c r="CG4" s="124">
        <f>CG5</f>
        <v>46384</v>
      </c>
      <c r="CH4" s="125"/>
      <c r="CI4" s="125"/>
      <c r="CJ4" s="125"/>
      <c r="CK4" s="125"/>
      <c r="CL4" s="125"/>
      <c r="CM4" s="126"/>
      <c r="CN4" s="124">
        <f>CN5</f>
        <v>46391</v>
      </c>
      <c r="CO4" s="125"/>
      <c r="CP4" s="125"/>
      <c r="CQ4" s="125"/>
      <c r="CR4" s="125"/>
      <c r="CS4" s="125"/>
      <c r="CT4" s="126"/>
      <c r="CU4" s="124">
        <f>CU5</f>
        <v>46398</v>
      </c>
      <c r="CV4" s="125"/>
      <c r="CW4" s="125"/>
      <c r="CX4" s="125"/>
      <c r="CY4" s="125"/>
      <c r="CZ4" s="125"/>
      <c r="DA4" s="126"/>
      <c r="DB4" s="124">
        <f>DB5</f>
        <v>46405</v>
      </c>
      <c r="DC4" s="125"/>
      <c r="DD4" s="125"/>
      <c r="DE4" s="125"/>
      <c r="DF4" s="125"/>
      <c r="DG4" s="125"/>
      <c r="DH4" s="126"/>
      <c r="DI4" s="124">
        <f>DI5</f>
        <v>46412</v>
      </c>
      <c r="DJ4" s="125"/>
      <c r="DK4" s="125"/>
      <c r="DL4" s="125"/>
      <c r="DM4" s="125"/>
      <c r="DN4" s="125"/>
      <c r="DO4" s="126"/>
      <c r="DP4" s="124">
        <f>DP5</f>
        <v>46419</v>
      </c>
      <c r="DQ4" s="125"/>
      <c r="DR4" s="125"/>
      <c r="DS4" s="125"/>
      <c r="DT4" s="125"/>
      <c r="DU4" s="125"/>
      <c r="DV4" s="126"/>
      <c r="DW4" s="124">
        <f>DW5</f>
        <v>46426</v>
      </c>
      <c r="DX4" s="125"/>
      <c r="DY4" s="125"/>
      <c r="DZ4" s="125"/>
      <c r="EA4" s="125"/>
      <c r="EB4" s="125"/>
      <c r="EC4" s="126"/>
    </row>
    <row r="5" spans="1:133" ht="15" customHeight="1" x14ac:dyDescent="0.3">
      <c r="A5" s="8" t="s">
        <v>4</v>
      </c>
      <c r="B5" s="20"/>
      <c r="C5" s="20"/>
      <c r="D5" s="20"/>
      <c r="E5" s="20"/>
      <c r="F5" s="20"/>
      <c r="H5" s="65">
        <f>プロジェクトの開始-WEEKDAY(プロジェクトの開始,1)+2+7*(週表示-1)</f>
        <v>46307</v>
      </c>
      <c r="I5" s="66">
        <f>H5+1</f>
        <v>46308</v>
      </c>
      <c r="J5" s="66">
        <f t="shared" ref="J5:AW5" si="0">I5+1</f>
        <v>46309</v>
      </c>
      <c r="K5" s="66">
        <f t="shared" si="0"/>
        <v>46310</v>
      </c>
      <c r="L5" s="66">
        <f t="shared" si="0"/>
        <v>46311</v>
      </c>
      <c r="M5" s="66">
        <f t="shared" si="0"/>
        <v>46312</v>
      </c>
      <c r="N5" s="67">
        <f t="shared" si="0"/>
        <v>46313</v>
      </c>
      <c r="O5" s="65">
        <f>N5+1</f>
        <v>46314</v>
      </c>
      <c r="P5" s="66">
        <f>O5+1</f>
        <v>46315</v>
      </c>
      <c r="Q5" s="66">
        <f t="shared" si="0"/>
        <v>46316</v>
      </c>
      <c r="R5" s="66">
        <f t="shared" si="0"/>
        <v>46317</v>
      </c>
      <c r="S5" s="66">
        <f t="shared" si="0"/>
        <v>46318</v>
      </c>
      <c r="T5" s="66">
        <f t="shared" si="0"/>
        <v>46319</v>
      </c>
      <c r="U5" s="67">
        <f t="shared" si="0"/>
        <v>46320</v>
      </c>
      <c r="V5" s="65">
        <f>U5+1</f>
        <v>46321</v>
      </c>
      <c r="W5" s="66">
        <f>V5+1</f>
        <v>46322</v>
      </c>
      <c r="X5" s="66">
        <f t="shared" si="0"/>
        <v>46323</v>
      </c>
      <c r="Y5" s="66">
        <f t="shared" si="0"/>
        <v>46324</v>
      </c>
      <c r="Z5" s="66">
        <f t="shared" si="0"/>
        <v>46325</v>
      </c>
      <c r="AA5" s="66">
        <f t="shared" si="0"/>
        <v>46326</v>
      </c>
      <c r="AB5" s="67">
        <f t="shared" si="0"/>
        <v>46327</v>
      </c>
      <c r="AC5" s="65">
        <f>AB5+1</f>
        <v>46328</v>
      </c>
      <c r="AD5" s="66">
        <f>AC5+1</f>
        <v>46329</v>
      </c>
      <c r="AE5" s="66">
        <f t="shared" si="0"/>
        <v>46330</v>
      </c>
      <c r="AF5" s="66">
        <f t="shared" si="0"/>
        <v>46331</v>
      </c>
      <c r="AG5" s="66">
        <f t="shared" si="0"/>
        <v>46332</v>
      </c>
      <c r="AH5" s="66">
        <f t="shared" si="0"/>
        <v>46333</v>
      </c>
      <c r="AI5" s="67">
        <f t="shared" si="0"/>
        <v>46334</v>
      </c>
      <c r="AJ5" s="65">
        <f>AI5+1</f>
        <v>46335</v>
      </c>
      <c r="AK5" s="66">
        <f>AJ5+1</f>
        <v>46336</v>
      </c>
      <c r="AL5" s="116">
        <f t="shared" si="0"/>
        <v>46337</v>
      </c>
      <c r="AM5" s="66">
        <f t="shared" si="0"/>
        <v>46338</v>
      </c>
      <c r="AN5" s="66">
        <f t="shared" si="0"/>
        <v>46339</v>
      </c>
      <c r="AO5" s="66">
        <f t="shared" si="0"/>
        <v>46340</v>
      </c>
      <c r="AP5" s="67">
        <f t="shared" si="0"/>
        <v>46341</v>
      </c>
      <c r="AQ5" s="133">
        <f>AP5+1</f>
        <v>46342</v>
      </c>
      <c r="AR5" s="66">
        <f>AQ5+1</f>
        <v>46343</v>
      </c>
      <c r="AS5" s="66">
        <f t="shared" si="0"/>
        <v>46344</v>
      </c>
      <c r="AT5" s="66">
        <f t="shared" si="0"/>
        <v>46345</v>
      </c>
      <c r="AU5" s="66">
        <f t="shared" si="0"/>
        <v>46346</v>
      </c>
      <c r="AV5" s="66">
        <f t="shared" si="0"/>
        <v>46347</v>
      </c>
      <c r="AW5" s="67">
        <f t="shared" si="0"/>
        <v>46348</v>
      </c>
      <c r="AX5" s="65">
        <f>AW5+1</f>
        <v>46349</v>
      </c>
      <c r="AY5" s="66">
        <f>AX5+1</f>
        <v>46350</v>
      </c>
      <c r="AZ5" s="66">
        <f t="shared" ref="AZ5:BD5" si="1">AY5+1</f>
        <v>46351</v>
      </c>
      <c r="BA5" s="66">
        <f t="shared" si="1"/>
        <v>46352</v>
      </c>
      <c r="BB5" s="66">
        <f t="shared" si="1"/>
        <v>46353</v>
      </c>
      <c r="BC5" s="136">
        <f t="shared" si="1"/>
        <v>46354</v>
      </c>
      <c r="BD5" s="67">
        <f t="shared" si="1"/>
        <v>46355</v>
      </c>
      <c r="BE5" s="65">
        <f>BD5+1</f>
        <v>46356</v>
      </c>
      <c r="BF5" s="66">
        <f>BE5+1</f>
        <v>46357</v>
      </c>
      <c r="BG5" s="66">
        <f t="shared" ref="BG5:BK5" si="2">BF5+1</f>
        <v>46358</v>
      </c>
      <c r="BH5" s="66">
        <f t="shared" si="2"/>
        <v>46359</v>
      </c>
      <c r="BI5" s="66">
        <f t="shared" si="2"/>
        <v>46360</v>
      </c>
      <c r="BJ5" s="66">
        <f t="shared" si="2"/>
        <v>46361</v>
      </c>
      <c r="BK5" s="67">
        <f t="shared" si="2"/>
        <v>46362</v>
      </c>
      <c r="BL5" s="65">
        <f>BK5+1</f>
        <v>46363</v>
      </c>
      <c r="BM5" s="66">
        <f>BL5+1</f>
        <v>46364</v>
      </c>
      <c r="BN5" s="66">
        <f t="shared" ref="BN5" si="3">BM5+1</f>
        <v>46365</v>
      </c>
      <c r="BO5" s="136">
        <f t="shared" ref="BO5" si="4">BN5+1</f>
        <v>46366</v>
      </c>
      <c r="BP5" s="136">
        <f t="shared" ref="BP5" si="5">BO5+1</f>
        <v>46367</v>
      </c>
      <c r="BQ5" s="136">
        <f t="shared" ref="BQ5" si="6">BP5+1</f>
        <v>46368</v>
      </c>
      <c r="BR5" s="67">
        <f t="shared" ref="BR5" si="7">BQ5+1</f>
        <v>46369</v>
      </c>
      <c r="BS5" s="65">
        <f>BR5+1</f>
        <v>46370</v>
      </c>
      <c r="BT5" s="116">
        <f>BS5+1</f>
        <v>46371</v>
      </c>
      <c r="BU5" s="66">
        <f t="shared" ref="BU5" si="8">BT5+1</f>
        <v>46372</v>
      </c>
      <c r="BV5" s="66">
        <f t="shared" ref="BV5" si="9">BU5+1</f>
        <v>46373</v>
      </c>
      <c r="BW5" s="66">
        <f t="shared" ref="BW5" si="10">BV5+1</f>
        <v>46374</v>
      </c>
      <c r="BX5" s="66">
        <f t="shared" ref="BX5" si="11">BW5+1</f>
        <v>46375</v>
      </c>
      <c r="BY5" s="67">
        <f t="shared" ref="BY5" si="12">BX5+1</f>
        <v>46376</v>
      </c>
      <c r="BZ5" s="65">
        <f>BY5+1</f>
        <v>46377</v>
      </c>
      <c r="CA5" s="116">
        <f>BZ5+1</f>
        <v>46378</v>
      </c>
      <c r="CB5" s="66">
        <f t="shared" ref="CB5" si="13">CA5+1</f>
        <v>46379</v>
      </c>
      <c r="CC5" s="66">
        <f t="shared" ref="CC5" si="14">CB5+1</f>
        <v>46380</v>
      </c>
      <c r="CD5" s="66">
        <f t="shared" ref="CD5" si="15">CC5+1</f>
        <v>46381</v>
      </c>
      <c r="CE5" s="136">
        <f t="shared" ref="CE5" si="16">CD5+1</f>
        <v>46382</v>
      </c>
      <c r="CF5" s="138">
        <f t="shared" ref="CF5" si="17">CE5+1</f>
        <v>46383</v>
      </c>
      <c r="CG5" s="133">
        <f>CF5+1</f>
        <v>46384</v>
      </c>
      <c r="CH5" s="136">
        <f>CG5+1</f>
        <v>46385</v>
      </c>
      <c r="CI5" s="136">
        <f t="shared" ref="CI5" si="18">CH5+1</f>
        <v>46386</v>
      </c>
      <c r="CJ5" s="136">
        <f t="shared" ref="CJ5" si="19">CI5+1</f>
        <v>46387</v>
      </c>
      <c r="CK5" s="66">
        <f t="shared" ref="CK5" si="20">CJ5+1</f>
        <v>46388</v>
      </c>
      <c r="CL5" s="66">
        <f t="shared" ref="CL5" si="21">CK5+1</f>
        <v>46389</v>
      </c>
      <c r="CM5" s="67">
        <f t="shared" ref="CM5" si="22">CL5+1</f>
        <v>46390</v>
      </c>
      <c r="CN5" s="65">
        <f>CM5+1</f>
        <v>46391</v>
      </c>
      <c r="CO5" s="66">
        <f>CN5+1</f>
        <v>46392</v>
      </c>
      <c r="CP5" s="66">
        <f t="shared" ref="CP5" si="23">CO5+1</f>
        <v>46393</v>
      </c>
      <c r="CQ5" s="66">
        <f t="shared" ref="CQ5" si="24">CP5+1</f>
        <v>46394</v>
      </c>
      <c r="CR5" s="66">
        <f t="shared" ref="CR5" si="25">CQ5+1</f>
        <v>46395</v>
      </c>
      <c r="CS5" s="66">
        <f t="shared" ref="CS5" si="26">CR5+1</f>
        <v>46396</v>
      </c>
      <c r="CT5" s="67">
        <f t="shared" ref="CT5" si="27">CS5+1</f>
        <v>46397</v>
      </c>
      <c r="CU5" s="65">
        <f>CT5+1</f>
        <v>46398</v>
      </c>
      <c r="CV5" s="66">
        <f>CU5+1</f>
        <v>46399</v>
      </c>
      <c r="CW5" s="66">
        <f t="shared" ref="CW5" si="28">CV5+1</f>
        <v>46400</v>
      </c>
      <c r="CX5" s="66">
        <f t="shared" ref="CX5" si="29">CW5+1</f>
        <v>46401</v>
      </c>
      <c r="CY5" s="66">
        <f t="shared" ref="CY5" si="30">CX5+1</f>
        <v>46402</v>
      </c>
      <c r="CZ5" s="66">
        <f t="shared" ref="CZ5" si="31">CY5+1</f>
        <v>46403</v>
      </c>
      <c r="DA5" s="67">
        <f t="shared" ref="DA5" si="32">CZ5+1</f>
        <v>46404</v>
      </c>
      <c r="DB5" s="65">
        <f>DA5+1</f>
        <v>46405</v>
      </c>
      <c r="DC5" s="66">
        <f>DB5+1</f>
        <v>46406</v>
      </c>
      <c r="DD5" s="66">
        <f t="shared" ref="DD5" si="33">DC5+1</f>
        <v>46407</v>
      </c>
      <c r="DE5" s="66">
        <f t="shared" ref="DE5" si="34">DD5+1</f>
        <v>46408</v>
      </c>
      <c r="DF5" s="66">
        <f t="shared" ref="DF5" si="35">DE5+1</f>
        <v>46409</v>
      </c>
      <c r="DG5" s="66">
        <f t="shared" ref="DG5" si="36">DF5+1</f>
        <v>46410</v>
      </c>
      <c r="DH5" s="67">
        <f t="shared" ref="DH5" si="37">DG5+1</f>
        <v>46411</v>
      </c>
      <c r="DI5" s="65">
        <f>DH5+1</f>
        <v>46412</v>
      </c>
      <c r="DJ5" s="66">
        <f>DI5+1</f>
        <v>46413</v>
      </c>
      <c r="DK5" s="66">
        <f t="shared" ref="DK5" si="38">DJ5+1</f>
        <v>46414</v>
      </c>
      <c r="DL5" s="66">
        <f t="shared" ref="DL5" si="39">DK5+1</f>
        <v>46415</v>
      </c>
      <c r="DM5" s="66">
        <f t="shared" ref="DM5" si="40">DL5+1</f>
        <v>46416</v>
      </c>
      <c r="DN5" s="66">
        <f t="shared" ref="DN5" si="41">DM5+1</f>
        <v>46417</v>
      </c>
      <c r="DO5" s="67">
        <f t="shared" ref="DO5" si="42">DN5+1</f>
        <v>46418</v>
      </c>
      <c r="DP5" s="65">
        <f>DO5+1</f>
        <v>46419</v>
      </c>
      <c r="DQ5" s="66">
        <f>DP5+1</f>
        <v>46420</v>
      </c>
      <c r="DR5" s="66">
        <f t="shared" ref="DR5" si="43">DQ5+1</f>
        <v>46421</v>
      </c>
      <c r="DS5" s="66">
        <f t="shared" ref="DS5" si="44">DR5+1</f>
        <v>46422</v>
      </c>
      <c r="DT5" s="116">
        <f t="shared" ref="DT5" si="45">DS5+1</f>
        <v>46423</v>
      </c>
      <c r="DU5" s="66">
        <f t="shared" ref="DU5" si="46">DT5+1</f>
        <v>46424</v>
      </c>
      <c r="DV5" s="67">
        <f t="shared" ref="DV5" si="47">DU5+1</f>
        <v>46425</v>
      </c>
      <c r="DW5" s="65">
        <f>DV5+1</f>
        <v>46426</v>
      </c>
      <c r="DX5" s="66">
        <f>DW5+1</f>
        <v>46427</v>
      </c>
      <c r="DY5" s="66">
        <f t="shared" ref="DY5" si="48">DX5+1</f>
        <v>46428</v>
      </c>
      <c r="DZ5" s="66">
        <f t="shared" ref="DZ5" si="49">DY5+1</f>
        <v>46429</v>
      </c>
      <c r="EA5" s="66">
        <f t="shared" ref="EA5" si="50">DZ5+1</f>
        <v>46430</v>
      </c>
      <c r="EB5" s="66">
        <f t="shared" ref="EB5" si="51">EA5+1</f>
        <v>46431</v>
      </c>
      <c r="EC5" s="67">
        <f t="shared" ref="EC5" si="52">EB5+1</f>
        <v>46432</v>
      </c>
    </row>
    <row r="6" spans="1:133" ht="30" customHeight="1" thickBot="1" x14ac:dyDescent="0.35">
      <c r="A6" s="8" t="s">
        <v>5</v>
      </c>
      <c r="B6" s="26" t="s">
        <v>14</v>
      </c>
      <c r="C6" s="27" t="s">
        <v>36</v>
      </c>
      <c r="D6" s="27" t="s">
        <v>18</v>
      </c>
      <c r="E6" s="27" t="s">
        <v>19</v>
      </c>
      <c r="F6" s="27" t="s">
        <v>20</v>
      </c>
      <c r="G6" s="27" t="s">
        <v>21</v>
      </c>
      <c r="H6" s="28" t="str">
        <f t="shared" ref="H6:AM6" si="53">LEFT(TEXT(H5,"aaa"),1)</f>
        <v>月</v>
      </c>
      <c r="I6" s="28" t="str">
        <f t="shared" si="53"/>
        <v>火</v>
      </c>
      <c r="J6" s="28" t="str">
        <f t="shared" si="53"/>
        <v>水</v>
      </c>
      <c r="K6" s="131" t="str">
        <f t="shared" si="53"/>
        <v>木</v>
      </c>
      <c r="L6" s="131" t="str">
        <f t="shared" si="53"/>
        <v>金</v>
      </c>
      <c r="M6" s="28" t="str">
        <f t="shared" si="53"/>
        <v>土</v>
      </c>
      <c r="N6" s="28" t="str">
        <f t="shared" si="53"/>
        <v>日</v>
      </c>
      <c r="O6" s="28" t="str">
        <f t="shared" si="53"/>
        <v>月</v>
      </c>
      <c r="P6" s="28" t="str">
        <f t="shared" si="53"/>
        <v>火</v>
      </c>
      <c r="Q6" s="28" t="str">
        <f t="shared" si="53"/>
        <v>水</v>
      </c>
      <c r="R6" s="28" t="str">
        <f t="shared" si="53"/>
        <v>木</v>
      </c>
      <c r="S6" s="28" t="str">
        <f t="shared" si="53"/>
        <v>金</v>
      </c>
      <c r="T6" s="28" t="str">
        <f t="shared" si="53"/>
        <v>土</v>
      </c>
      <c r="U6" s="28" t="str">
        <f t="shared" si="53"/>
        <v>日</v>
      </c>
      <c r="V6" s="28" t="str">
        <f t="shared" si="53"/>
        <v>月</v>
      </c>
      <c r="W6" s="28" t="str">
        <f t="shared" si="53"/>
        <v>火</v>
      </c>
      <c r="X6" s="28" t="str">
        <f t="shared" si="53"/>
        <v>水</v>
      </c>
      <c r="Y6" s="28" t="str">
        <f t="shared" si="53"/>
        <v>木</v>
      </c>
      <c r="Z6" s="28" t="str">
        <f t="shared" si="53"/>
        <v>金</v>
      </c>
      <c r="AA6" s="28" t="str">
        <f t="shared" si="53"/>
        <v>土</v>
      </c>
      <c r="AB6" s="28" t="str">
        <f t="shared" si="53"/>
        <v>日</v>
      </c>
      <c r="AC6" s="28" t="str">
        <f t="shared" si="53"/>
        <v>月</v>
      </c>
      <c r="AD6" s="131" t="str">
        <f t="shared" si="53"/>
        <v>火</v>
      </c>
      <c r="AE6" s="28" t="str">
        <f t="shared" si="53"/>
        <v>水</v>
      </c>
      <c r="AF6" s="28" t="str">
        <f t="shared" si="53"/>
        <v>木</v>
      </c>
      <c r="AG6" s="28" t="str">
        <f t="shared" si="53"/>
        <v>金</v>
      </c>
      <c r="AH6" s="28" t="str">
        <f t="shared" si="53"/>
        <v>土</v>
      </c>
      <c r="AI6" s="28" t="str">
        <f t="shared" si="53"/>
        <v>日</v>
      </c>
      <c r="AJ6" s="28" t="str">
        <f t="shared" si="53"/>
        <v>月</v>
      </c>
      <c r="AK6" s="28" t="str">
        <f t="shared" si="53"/>
        <v>火</v>
      </c>
      <c r="AL6" s="117" t="str">
        <f t="shared" si="53"/>
        <v>水</v>
      </c>
      <c r="AM6" s="28" t="str">
        <f t="shared" si="53"/>
        <v>木</v>
      </c>
      <c r="AN6" s="28" t="str">
        <f t="shared" ref="AN6:CQ6" si="54">LEFT(TEXT(AN5,"aaa"),1)</f>
        <v>金</v>
      </c>
      <c r="AO6" s="28" t="str">
        <f t="shared" si="54"/>
        <v>土</v>
      </c>
      <c r="AP6" s="28" t="str">
        <f t="shared" si="54"/>
        <v>日</v>
      </c>
      <c r="AQ6" s="134" t="str">
        <f t="shared" si="54"/>
        <v>月</v>
      </c>
      <c r="AR6" s="28" t="str">
        <f t="shared" si="54"/>
        <v>火</v>
      </c>
      <c r="AS6" s="28" t="str">
        <f t="shared" si="54"/>
        <v>水</v>
      </c>
      <c r="AT6" s="28" t="str">
        <f t="shared" si="54"/>
        <v>木</v>
      </c>
      <c r="AU6" s="28" t="str">
        <f t="shared" si="54"/>
        <v>金</v>
      </c>
      <c r="AV6" s="28" t="str">
        <f t="shared" si="54"/>
        <v>土</v>
      </c>
      <c r="AW6" s="28" t="str">
        <f t="shared" si="54"/>
        <v>日</v>
      </c>
      <c r="AX6" s="131" t="str">
        <f t="shared" si="54"/>
        <v>月</v>
      </c>
      <c r="AY6" s="28" t="str">
        <f t="shared" si="54"/>
        <v>火</v>
      </c>
      <c r="AZ6" s="28" t="str">
        <f t="shared" si="54"/>
        <v>水</v>
      </c>
      <c r="BA6" s="28" t="str">
        <f t="shared" si="54"/>
        <v>木</v>
      </c>
      <c r="BB6" s="28" t="str">
        <f t="shared" si="54"/>
        <v>金</v>
      </c>
      <c r="BC6" s="134" t="str">
        <f t="shared" si="54"/>
        <v>土</v>
      </c>
      <c r="BD6" s="28" t="str">
        <f t="shared" si="54"/>
        <v>日</v>
      </c>
      <c r="BE6" s="28" t="str">
        <f t="shared" si="54"/>
        <v>月</v>
      </c>
      <c r="BF6" s="28" t="str">
        <f t="shared" si="54"/>
        <v>火</v>
      </c>
      <c r="BG6" s="28" t="str">
        <f t="shared" si="54"/>
        <v>水</v>
      </c>
      <c r="BH6" s="28" t="str">
        <f t="shared" si="54"/>
        <v>木</v>
      </c>
      <c r="BI6" s="28" t="str">
        <f t="shared" si="54"/>
        <v>金</v>
      </c>
      <c r="BJ6" s="28" t="str">
        <f t="shared" si="54"/>
        <v>土</v>
      </c>
      <c r="BK6" s="28" t="str">
        <f t="shared" si="54"/>
        <v>日</v>
      </c>
      <c r="BL6" s="28" t="str">
        <f t="shared" si="54"/>
        <v>月</v>
      </c>
      <c r="BM6" s="28" t="str">
        <f t="shared" si="54"/>
        <v>火</v>
      </c>
      <c r="BN6" s="28" t="str">
        <f t="shared" si="54"/>
        <v>水</v>
      </c>
      <c r="BO6" s="134" t="str">
        <f t="shared" si="54"/>
        <v>木</v>
      </c>
      <c r="BP6" s="134" t="str">
        <f t="shared" si="54"/>
        <v>金</v>
      </c>
      <c r="BQ6" s="134" t="str">
        <f t="shared" si="54"/>
        <v>土</v>
      </c>
      <c r="BR6" s="28" t="str">
        <f t="shared" si="54"/>
        <v>日</v>
      </c>
      <c r="BS6" s="28" t="str">
        <f t="shared" si="54"/>
        <v>月</v>
      </c>
      <c r="BT6" s="117" t="str">
        <f t="shared" si="54"/>
        <v>火</v>
      </c>
      <c r="BU6" s="28" t="str">
        <f t="shared" si="54"/>
        <v>水</v>
      </c>
      <c r="BV6" s="28" t="str">
        <f t="shared" si="54"/>
        <v>木</v>
      </c>
      <c r="BW6" s="28" t="str">
        <f t="shared" si="54"/>
        <v>金</v>
      </c>
      <c r="BX6" s="28" t="str">
        <f t="shared" si="54"/>
        <v>土</v>
      </c>
      <c r="BY6" s="28" t="str">
        <f t="shared" si="54"/>
        <v>日</v>
      </c>
      <c r="BZ6" s="28" t="str">
        <f t="shared" si="54"/>
        <v>月</v>
      </c>
      <c r="CA6" s="117" t="str">
        <f t="shared" si="54"/>
        <v>火</v>
      </c>
      <c r="CB6" s="28" t="str">
        <f t="shared" si="54"/>
        <v>水</v>
      </c>
      <c r="CC6" s="28" t="str">
        <f t="shared" si="54"/>
        <v>木</v>
      </c>
      <c r="CD6" s="28" t="str">
        <f t="shared" si="54"/>
        <v>金</v>
      </c>
      <c r="CE6" s="134" t="str">
        <f t="shared" si="54"/>
        <v>土</v>
      </c>
      <c r="CF6" s="134" t="str">
        <f t="shared" si="54"/>
        <v>日</v>
      </c>
      <c r="CG6" s="134" t="str">
        <f t="shared" si="54"/>
        <v>月</v>
      </c>
      <c r="CH6" s="134" t="str">
        <f t="shared" si="54"/>
        <v>火</v>
      </c>
      <c r="CI6" s="134" t="str">
        <f t="shared" si="54"/>
        <v>水</v>
      </c>
      <c r="CJ6" s="134" t="str">
        <f t="shared" si="54"/>
        <v>木</v>
      </c>
      <c r="CK6" s="28" t="str">
        <f t="shared" si="54"/>
        <v>金</v>
      </c>
      <c r="CL6" s="28" t="str">
        <f t="shared" si="54"/>
        <v>土</v>
      </c>
      <c r="CM6" s="28" t="str">
        <f t="shared" si="54"/>
        <v>日</v>
      </c>
      <c r="CN6" s="28" t="str">
        <f t="shared" si="54"/>
        <v>月</v>
      </c>
      <c r="CO6" s="28" t="str">
        <f t="shared" si="54"/>
        <v>火</v>
      </c>
      <c r="CP6" s="28" t="str">
        <f t="shared" si="54"/>
        <v>水</v>
      </c>
      <c r="CQ6" s="28" t="str">
        <f t="shared" si="54"/>
        <v>木</v>
      </c>
      <c r="CR6" s="28" t="str">
        <f t="shared" ref="CR6:EC6" si="55">LEFT(TEXT(CR5,"aaa"),1)</f>
        <v>金</v>
      </c>
      <c r="CS6" s="28" t="str">
        <f t="shared" si="55"/>
        <v>土</v>
      </c>
      <c r="CT6" s="28" t="str">
        <f t="shared" si="55"/>
        <v>日</v>
      </c>
      <c r="CU6" s="28" t="str">
        <f t="shared" si="55"/>
        <v>月</v>
      </c>
      <c r="CV6" s="28" t="str">
        <f t="shared" si="55"/>
        <v>火</v>
      </c>
      <c r="CW6" s="28" t="str">
        <f t="shared" si="55"/>
        <v>水</v>
      </c>
      <c r="CX6" s="28" t="str">
        <f t="shared" si="55"/>
        <v>木</v>
      </c>
      <c r="CY6" s="28" t="str">
        <f t="shared" si="55"/>
        <v>金</v>
      </c>
      <c r="CZ6" s="28" t="str">
        <f t="shared" si="55"/>
        <v>土</v>
      </c>
      <c r="DA6" s="28" t="str">
        <f t="shared" si="55"/>
        <v>日</v>
      </c>
      <c r="DB6" s="28" t="str">
        <f t="shared" si="55"/>
        <v>月</v>
      </c>
      <c r="DC6" s="28" t="str">
        <f t="shared" si="55"/>
        <v>火</v>
      </c>
      <c r="DD6" s="28" t="str">
        <f t="shared" si="55"/>
        <v>水</v>
      </c>
      <c r="DE6" s="28" t="str">
        <f t="shared" si="55"/>
        <v>木</v>
      </c>
      <c r="DF6" s="28" t="str">
        <f t="shared" si="55"/>
        <v>金</v>
      </c>
      <c r="DG6" s="28" t="str">
        <f t="shared" si="55"/>
        <v>土</v>
      </c>
      <c r="DH6" s="28" t="str">
        <f t="shared" si="55"/>
        <v>日</v>
      </c>
      <c r="DI6" s="28" t="str">
        <f t="shared" si="55"/>
        <v>月</v>
      </c>
      <c r="DJ6" s="28" t="str">
        <f t="shared" si="55"/>
        <v>火</v>
      </c>
      <c r="DK6" s="28" t="str">
        <f t="shared" si="55"/>
        <v>水</v>
      </c>
      <c r="DL6" s="28" t="str">
        <f t="shared" si="55"/>
        <v>木</v>
      </c>
      <c r="DM6" s="28" t="str">
        <f t="shared" si="55"/>
        <v>金</v>
      </c>
      <c r="DN6" s="28" t="str">
        <f t="shared" si="55"/>
        <v>土</v>
      </c>
      <c r="DO6" s="28" t="str">
        <f t="shared" si="55"/>
        <v>日</v>
      </c>
      <c r="DP6" s="28" t="str">
        <f t="shared" si="55"/>
        <v>月</v>
      </c>
      <c r="DQ6" s="28" t="str">
        <f t="shared" si="55"/>
        <v>火</v>
      </c>
      <c r="DR6" s="28" t="str">
        <f t="shared" si="55"/>
        <v>水</v>
      </c>
      <c r="DS6" s="28" t="str">
        <f t="shared" si="55"/>
        <v>木</v>
      </c>
      <c r="DT6" s="117" t="str">
        <f t="shared" si="55"/>
        <v>金</v>
      </c>
      <c r="DU6" s="28" t="str">
        <f t="shared" si="55"/>
        <v>土</v>
      </c>
      <c r="DV6" s="28" t="str">
        <f t="shared" si="55"/>
        <v>日</v>
      </c>
      <c r="DW6" s="28" t="str">
        <f t="shared" si="55"/>
        <v>月</v>
      </c>
      <c r="DX6" s="28" t="str">
        <f t="shared" si="55"/>
        <v>火</v>
      </c>
      <c r="DY6" s="28" t="str">
        <f t="shared" si="55"/>
        <v>水</v>
      </c>
      <c r="DZ6" s="28" t="str">
        <f t="shared" si="55"/>
        <v>木</v>
      </c>
      <c r="EA6" s="28" t="str">
        <f t="shared" si="55"/>
        <v>金</v>
      </c>
      <c r="EB6" s="28" t="str">
        <f t="shared" si="55"/>
        <v>土</v>
      </c>
      <c r="EC6" s="28" t="str">
        <f t="shared" si="55"/>
        <v>日</v>
      </c>
    </row>
    <row r="7" spans="1:133" ht="30" hidden="1" customHeight="1" thickBot="1" x14ac:dyDescent="0.35">
      <c r="A7" s="7" t="s">
        <v>6</v>
      </c>
      <c r="C7" s="9"/>
      <c r="E7"/>
      <c r="G7" t="str">
        <f>IF(OR(ISBLANK(タスク_開始),ISBLANK(タスク_終了)),"",タスク_終了-タスク_開始+1)</f>
        <v/>
      </c>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118"/>
      <c r="AM7" s="4"/>
      <c r="AN7" s="4"/>
      <c r="AO7" s="4"/>
      <c r="AP7" s="4"/>
      <c r="AQ7" s="135"/>
      <c r="AR7" s="4"/>
      <c r="AS7" s="4"/>
      <c r="AT7" s="4"/>
      <c r="AU7" s="4"/>
      <c r="AV7" s="4"/>
      <c r="AW7" s="4"/>
      <c r="AX7" s="4"/>
      <c r="AY7" s="4"/>
      <c r="AZ7" s="4"/>
      <c r="BA7" s="4"/>
      <c r="BB7" s="4"/>
      <c r="BC7" s="135"/>
      <c r="BD7" s="4"/>
      <c r="BE7" s="4"/>
      <c r="BF7" s="4"/>
      <c r="BG7" s="4"/>
      <c r="BH7" s="4"/>
      <c r="BI7" s="4"/>
      <c r="BJ7" s="4"/>
      <c r="BK7" s="4"/>
      <c r="BL7" s="4"/>
      <c r="BM7" s="4"/>
      <c r="BN7" s="4"/>
      <c r="BO7" s="135"/>
      <c r="BP7" s="135"/>
      <c r="BQ7" s="135"/>
      <c r="BR7" s="4"/>
      <c r="BS7" s="4"/>
      <c r="BT7" s="118"/>
      <c r="BU7" s="4"/>
      <c r="BV7" s="4"/>
      <c r="BW7" s="4"/>
      <c r="BX7" s="4"/>
      <c r="BY7" s="4"/>
      <c r="BZ7" s="4"/>
      <c r="CA7" s="118"/>
      <c r="CB7" s="4"/>
      <c r="CC7" s="4"/>
      <c r="CD7" s="4"/>
      <c r="CE7" s="135"/>
      <c r="CF7" s="135"/>
      <c r="CG7" s="135"/>
      <c r="CH7" s="135"/>
      <c r="CI7" s="135"/>
      <c r="CJ7" s="135"/>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118"/>
      <c r="DU7" s="4"/>
      <c r="DV7" s="4"/>
      <c r="DW7" s="4"/>
      <c r="DX7" s="4"/>
      <c r="DY7" s="4"/>
      <c r="DZ7" s="4"/>
      <c r="EA7" s="4"/>
      <c r="EB7" s="4"/>
      <c r="EC7" s="4"/>
    </row>
    <row r="8" spans="1:133" s="1" customFormat="1" ht="30" customHeight="1" thickBot="1" x14ac:dyDescent="0.35">
      <c r="A8" s="8" t="s">
        <v>7</v>
      </c>
      <c r="B8" s="29" t="s">
        <v>46</v>
      </c>
      <c r="C8" s="12"/>
      <c r="D8" s="30"/>
      <c r="E8" s="56"/>
      <c r="F8" s="57"/>
      <c r="G8" s="31" t="str">
        <f t="shared" ref="G8:G277" si="56">IF(OR(ISBLANK(タスク_開始),ISBLANK(タスク_終了)),"",タスク_終了-タスク_開始+1)</f>
        <v/>
      </c>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118"/>
      <c r="AM8" s="4"/>
      <c r="AN8" s="4"/>
      <c r="AO8" s="4"/>
      <c r="AP8" s="4"/>
      <c r="AQ8" s="135"/>
      <c r="AR8" s="4"/>
      <c r="AS8" s="4"/>
      <c r="AT8" s="4"/>
      <c r="AU8" s="4"/>
      <c r="AV8" s="4"/>
      <c r="AW8" s="4"/>
      <c r="AX8" s="4"/>
      <c r="AY8" s="4"/>
      <c r="AZ8" s="4"/>
      <c r="BA8" s="4"/>
      <c r="BB8" s="4"/>
      <c r="BC8" s="135"/>
      <c r="BD8" s="4"/>
      <c r="BE8" s="4"/>
      <c r="BF8" s="4"/>
      <c r="BG8" s="4"/>
      <c r="BH8" s="4"/>
      <c r="BI8" s="4"/>
      <c r="BJ8" s="4"/>
      <c r="BK8" s="4"/>
      <c r="BL8" s="4"/>
      <c r="BM8" s="4"/>
      <c r="BN8" s="4"/>
      <c r="BO8" s="135"/>
      <c r="BP8" s="135"/>
      <c r="BQ8" s="135"/>
      <c r="BR8" s="4"/>
      <c r="BS8" s="4"/>
      <c r="BT8" s="118"/>
      <c r="BU8" s="4"/>
      <c r="BV8" s="4"/>
      <c r="BW8" s="4"/>
      <c r="BX8" s="4"/>
      <c r="BY8" s="4"/>
      <c r="BZ8" s="4"/>
      <c r="CA8" s="118"/>
      <c r="CB8" s="4"/>
      <c r="CC8" s="4"/>
      <c r="CD8" s="4"/>
      <c r="CE8" s="135"/>
      <c r="CF8" s="135"/>
      <c r="CG8" s="135"/>
      <c r="CH8" s="135"/>
      <c r="CI8" s="135"/>
      <c r="CJ8" s="135"/>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118"/>
      <c r="DU8" s="4"/>
      <c r="DV8" s="4"/>
      <c r="DW8" s="4"/>
      <c r="DX8" s="4"/>
      <c r="DY8" s="4"/>
      <c r="DZ8" s="4"/>
      <c r="EA8" s="4"/>
      <c r="EB8" s="4"/>
      <c r="EC8" s="4"/>
    </row>
    <row r="9" spans="1:133" s="1" customFormat="1" ht="30" customHeight="1" thickBot="1" x14ac:dyDescent="0.35">
      <c r="A9" s="8" t="s">
        <v>8</v>
      </c>
      <c r="B9" s="17" t="s">
        <v>39</v>
      </c>
      <c r="C9" s="13" t="s">
        <v>246</v>
      </c>
      <c r="D9" s="32"/>
      <c r="E9" s="58">
        <f>プロジェクトの開始</f>
        <v>46308</v>
      </c>
      <c r="F9" s="58">
        <v>46308</v>
      </c>
      <c r="G9" s="31">
        <f t="shared" si="56"/>
        <v>1</v>
      </c>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118"/>
      <c r="AM9" s="4"/>
      <c r="AN9" s="4"/>
      <c r="AO9" s="4"/>
      <c r="AP9" s="4"/>
      <c r="AQ9" s="135"/>
      <c r="AR9" s="4"/>
      <c r="AS9" s="4"/>
      <c r="AT9" s="4"/>
      <c r="AU9" s="4"/>
      <c r="AV9" s="4"/>
      <c r="AW9" s="4"/>
      <c r="AX9" s="4"/>
      <c r="AY9" s="4"/>
      <c r="AZ9" s="4"/>
      <c r="BA9" s="4"/>
      <c r="BB9" s="4"/>
      <c r="BC9" s="135"/>
      <c r="BD9" s="4"/>
      <c r="BE9" s="4"/>
      <c r="BF9" s="4"/>
      <c r="BG9" s="4"/>
      <c r="BH9" s="4"/>
      <c r="BI9" s="4"/>
      <c r="BJ9" s="4"/>
      <c r="BK9" s="4"/>
      <c r="BL9" s="4"/>
      <c r="BM9" s="4"/>
      <c r="BN9" s="4"/>
      <c r="BO9" s="135"/>
      <c r="BP9" s="135"/>
      <c r="BQ9" s="135"/>
      <c r="BR9" s="4"/>
      <c r="BS9" s="4"/>
      <c r="BT9" s="118"/>
      <c r="BU9" s="4"/>
      <c r="BV9" s="4"/>
      <c r="BW9" s="4"/>
      <c r="BX9" s="4"/>
      <c r="BY9" s="4"/>
      <c r="BZ9" s="4"/>
      <c r="CA9" s="118"/>
      <c r="CB9" s="4"/>
      <c r="CC9" s="4"/>
      <c r="CD9" s="4"/>
      <c r="CE9" s="135"/>
      <c r="CF9" s="135"/>
      <c r="CG9" s="135"/>
      <c r="CH9" s="135"/>
      <c r="CI9" s="135"/>
      <c r="CJ9" s="135"/>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118"/>
      <c r="DU9" s="4"/>
      <c r="DV9" s="4"/>
      <c r="DW9" s="4"/>
      <c r="DX9" s="4"/>
      <c r="DY9" s="4"/>
      <c r="DZ9" s="4"/>
      <c r="EA9" s="4"/>
      <c r="EB9" s="4"/>
      <c r="EC9" s="4"/>
    </row>
    <row r="10" spans="1:133" s="1" customFormat="1" ht="30" customHeight="1" thickBot="1" x14ac:dyDescent="0.35">
      <c r="A10" s="8" t="s">
        <v>9</v>
      </c>
      <c r="B10" s="17" t="s">
        <v>40</v>
      </c>
      <c r="C10" s="13" t="s">
        <v>246</v>
      </c>
      <c r="D10" s="32"/>
      <c r="E10" s="58">
        <v>46308</v>
      </c>
      <c r="F10" s="58">
        <v>46308</v>
      </c>
      <c r="G10" s="31">
        <f t="shared" si="56"/>
        <v>1</v>
      </c>
      <c r="H10" s="4"/>
      <c r="I10" s="4"/>
      <c r="J10" s="4"/>
      <c r="K10" s="4"/>
      <c r="L10" s="4"/>
      <c r="M10" s="4"/>
      <c r="N10" s="4"/>
      <c r="O10" s="4"/>
      <c r="P10" s="4"/>
      <c r="Q10" s="4"/>
      <c r="R10" s="4"/>
      <c r="S10" s="4"/>
      <c r="T10" s="5"/>
      <c r="U10" s="5"/>
      <c r="V10" s="4"/>
      <c r="W10" s="4"/>
      <c r="X10" s="4"/>
      <c r="Y10" s="4"/>
      <c r="Z10" s="4"/>
      <c r="AA10" s="4"/>
      <c r="AB10" s="4"/>
      <c r="AC10" s="4"/>
      <c r="AD10" s="4"/>
      <c r="AE10" s="4"/>
      <c r="AF10" s="4"/>
      <c r="AG10" s="4"/>
      <c r="AH10" s="4"/>
      <c r="AI10" s="4"/>
      <c r="AJ10" s="4"/>
      <c r="AK10" s="4"/>
      <c r="AL10" s="118"/>
      <c r="AM10" s="4"/>
      <c r="AN10" s="4"/>
      <c r="AO10" s="4"/>
      <c r="AP10" s="4"/>
      <c r="AQ10" s="135"/>
      <c r="AR10" s="4"/>
      <c r="AS10" s="4"/>
      <c r="AT10" s="4"/>
      <c r="AU10" s="4"/>
      <c r="AV10" s="4"/>
      <c r="AW10" s="4"/>
      <c r="AX10" s="4"/>
      <c r="AY10" s="4"/>
      <c r="AZ10" s="4"/>
      <c r="BA10" s="4"/>
      <c r="BB10" s="4"/>
      <c r="BC10" s="135"/>
      <c r="BD10" s="4"/>
      <c r="BE10" s="4"/>
      <c r="BF10" s="4"/>
      <c r="BG10" s="4"/>
      <c r="BH10" s="4"/>
      <c r="BI10" s="4"/>
      <c r="BJ10" s="4"/>
      <c r="BK10" s="4"/>
      <c r="BL10" s="4"/>
      <c r="BM10" s="4"/>
      <c r="BN10" s="4"/>
      <c r="BO10" s="135"/>
      <c r="BP10" s="135"/>
      <c r="BQ10" s="137"/>
      <c r="BR10" s="5"/>
      <c r="BS10" s="4"/>
      <c r="BT10" s="118"/>
      <c r="BU10" s="4"/>
      <c r="BV10" s="4"/>
      <c r="BW10" s="4"/>
      <c r="BX10" s="5"/>
      <c r="BY10" s="5"/>
      <c r="BZ10" s="4"/>
      <c r="CA10" s="118"/>
      <c r="CB10" s="4"/>
      <c r="CC10" s="4"/>
      <c r="CD10" s="4"/>
      <c r="CE10" s="135"/>
      <c r="CF10" s="135"/>
      <c r="CG10" s="135"/>
      <c r="CH10" s="135"/>
      <c r="CI10" s="135"/>
      <c r="CJ10" s="135"/>
      <c r="CK10" s="4"/>
      <c r="CL10" s="4"/>
      <c r="CM10" s="4"/>
      <c r="CN10" s="4"/>
      <c r="CO10" s="4"/>
      <c r="CP10" s="4"/>
      <c r="CQ10" s="4"/>
      <c r="CR10" s="4"/>
      <c r="CS10" s="4"/>
      <c r="CT10" s="4"/>
      <c r="CU10" s="4"/>
      <c r="CV10" s="4"/>
      <c r="CW10" s="4"/>
      <c r="CX10" s="4"/>
      <c r="CY10" s="4"/>
      <c r="CZ10" s="4"/>
      <c r="DA10" s="4"/>
      <c r="DB10" s="4"/>
      <c r="DC10" s="4"/>
      <c r="DD10" s="4"/>
      <c r="DE10" s="4"/>
      <c r="DF10" s="4"/>
      <c r="DG10" s="5"/>
      <c r="DH10" s="5"/>
      <c r="DI10" s="4"/>
      <c r="DJ10" s="4"/>
      <c r="DK10" s="4"/>
      <c r="DL10" s="4"/>
      <c r="DM10" s="4"/>
      <c r="DN10" s="5"/>
      <c r="DO10" s="5"/>
      <c r="DP10" s="4"/>
      <c r="DQ10" s="4"/>
      <c r="DR10" s="4"/>
      <c r="DS10" s="4"/>
      <c r="DT10" s="118"/>
      <c r="DU10" s="4"/>
      <c r="DV10" s="4"/>
      <c r="DW10" s="4"/>
      <c r="DX10" s="4"/>
      <c r="DY10" s="4"/>
      <c r="DZ10" s="4"/>
      <c r="EA10" s="4"/>
      <c r="EB10" s="4"/>
      <c r="EC10" s="4"/>
    </row>
    <row r="11" spans="1:133" s="1" customFormat="1" ht="30" customHeight="1" thickBot="1" x14ac:dyDescent="0.35">
      <c r="A11" s="7"/>
      <c r="B11" s="17" t="s">
        <v>41</v>
      </c>
      <c r="C11" s="13" t="s">
        <v>246</v>
      </c>
      <c r="D11" s="32"/>
      <c r="E11" s="58">
        <v>46308</v>
      </c>
      <c r="F11" s="58">
        <v>46308</v>
      </c>
      <c r="G11" s="31">
        <f t="shared" si="56"/>
        <v>1</v>
      </c>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118"/>
      <c r="AM11" s="4"/>
      <c r="AN11" s="4"/>
      <c r="AO11" s="4"/>
      <c r="AP11" s="4"/>
      <c r="AQ11" s="135"/>
      <c r="AR11" s="4"/>
      <c r="AS11" s="4"/>
      <c r="AT11" s="4"/>
      <c r="AU11" s="4"/>
      <c r="AV11" s="4"/>
      <c r="AW11" s="4"/>
      <c r="AX11" s="4"/>
      <c r="AY11" s="4"/>
      <c r="AZ11" s="4"/>
      <c r="BA11" s="4"/>
      <c r="BB11" s="4"/>
      <c r="BC11" s="135"/>
      <c r="BD11" s="4"/>
      <c r="BE11" s="4"/>
      <c r="BF11" s="4"/>
      <c r="BG11" s="4"/>
      <c r="BH11" s="4"/>
      <c r="BI11" s="4"/>
      <c r="BJ11" s="4"/>
      <c r="BK11" s="4"/>
      <c r="BL11" s="4"/>
      <c r="BM11" s="4"/>
      <c r="BN11" s="4"/>
      <c r="BO11" s="135"/>
      <c r="BP11" s="135"/>
      <c r="BQ11" s="135"/>
      <c r="BR11" s="4"/>
      <c r="BS11" s="4"/>
      <c r="BT11" s="118"/>
      <c r="BU11" s="4"/>
      <c r="BV11" s="4"/>
      <c r="BW11" s="4"/>
      <c r="BX11" s="4"/>
      <c r="BY11" s="4"/>
      <c r="BZ11" s="4"/>
      <c r="CA11" s="118"/>
      <c r="CB11" s="4"/>
      <c r="CC11" s="4"/>
      <c r="CD11" s="4"/>
      <c r="CE11" s="135"/>
      <c r="CF11" s="135"/>
      <c r="CG11" s="135"/>
      <c r="CH11" s="135"/>
      <c r="CI11" s="135"/>
      <c r="CJ11" s="135"/>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118"/>
      <c r="DU11" s="4"/>
      <c r="DV11" s="4"/>
      <c r="DW11" s="4"/>
      <c r="DX11" s="4"/>
      <c r="DY11" s="4"/>
      <c r="DZ11" s="4"/>
      <c r="EA11" s="4"/>
      <c r="EB11" s="4"/>
      <c r="EC11" s="4"/>
    </row>
    <row r="12" spans="1:133" s="1" customFormat="1" ht="30" customHeight="1" thickBot="1" x14ac:dyDescent="0.35">
      <c r="A12" s="7"/>
      <c r="B12" s="17" t="s">
        <v>42</v>
      </c>
      <c r="C12" s="13" t="s">
        <v>246</v>
      </c>
      <c r="D12" s="32"/>
      <c r="E12" s="58">
        <v>46309</v>
      </c>
      <c r="F12" s="58">
        <v>46309</v>
      </c>
      <c r="G12" s="31">
        <f t="shared" si="56"/>
        <v>1</v>
      </c>
      <c r="H12" s="4"/>
      <c r="I12" s="4"/>
      <c r="J12" s="4"/>
      <c r="K12" s="4"/>
      <c r="L12" s="4"/>
      <c r="M12" s="4"/>
      <c r="N12" s="4"/>
      <c r="O12" s="4"/>
      <c r="P12" s="4"/>
      <c r="Q12" s="4"/>
      <c r="R12" s="4"/>
      <c r="S12" s="4"/>
      <c r="T12" s="4"/>
      <c r="U12" s="4"/>
      <c r="V12" s="4"/>
      <c r="W12" s="4"/>
      <c r="X12" s="5"/>
      <c r="Y12" s="4"/>
      <c r="Z12" s="4"/>
      <c r="AA12" s="4"/>
      <c r="AB12" s="4"/>
      <c r="AC12" s="4"/>
      <c r="AD12" s="4"/>
      <c r="AE12" s="4"/>
      <c r="AF12" s="4"/>
      <c r="AG12" s="4"/>
      <c r="AH12" s="4"/>
      <c r="AI12" s="4"/>
      <c r="AJ12" s="4"/>
      <c r="AK12" s="4"/>
      <c r="AL12" s="118"/>
      <c r="AM12" s="4"/>
      <c r="AN12" s="4"/>
      <c r="AO12" s="4"/>
      <c r="AP12" s="4"/>
      <c r="AQ12" s="135"/>
      <c r="AR12" s="4"/>
      <c r="AS12" s="4"/>
      <c r="AT12" s="4"/>
      <c r="AU12" s="4"/>
      <c r="AV12" s="4"/>
      <c r="AW12" s="4"/>
      <c r="AX12" s="4"/>
      <c r="AY12" s="4"/>
      <c r="AZ12" s="4"/>
      <c r="BA12" s="4"/>
      <c r="BB12" s="4"/>
      <c r="BC12" s="135"/>
      <c r="BD12" s="4"/>
      <c r="BE12" s="4"/>
      <c r="BF12" s="4"/>
      <c r="BG12" s="4"/>
      <c r="BH12" s="4"/>
      <c r="BI12" s="4"/>
      <c r="BJ12" s="4"/>
      <c r="BK12" s="4"/>
      <c r="BL12" s="4"/>
      <c r="BM12" s="4"/>
      <c r="BN12" s="4"/>
      <c r="BO12" s="135"/>
      <c r="BP12" s="135"/>
      <c r="BQ12" s="135"/>
      <c r="BR12" s="4"/>
      <c r="BS12" s="4"/>
      <c r="BT12" s="118"/>
      <c r="BU12" s="4"/>
      <c r="BV12" s="4"/>
      <c r="BW12" s="4"/>
      <c r="BX12" s="4"/>
      <c r="BY12" s="4"/>
      <c r="BZ12" s="4"/>
      <c r="CA12" s="118"/>
      <c r="CB12" s="5"/>
      <c r="CC12" s="4"/>
      <c r="CD12" s="4"/>
      <c r="CE12" s="135"/>
      <c r="CF12" s="135"/>
      <c r="CG12" s="135"/>
      <c r="CH12" s="135"/>
      <c r="CI12" s="135"/>
      <c r="CJ12" s="135"/>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5"/>
      <c r="DS12" s="4"/>
      <c r="DT12" s="118"/>
      <c r="DU12" s="4"/>
      <c r="DV12" s="4"/>
      <c r="DW12" s="4"/>
      <c r="DX12" s="4"/>
      <c r="DY12" s="4"/>
      <c r="DZ12" s="4"/>
      <c r="EA12" s="4"/>
      <c r="EB12" s="4"/>
      <c r="EC12" s="4"/>
    </row>
    <row r="13" spans="1:133" s="1" customFormat="1" ht="30" customHeight="1" thickBot="1" x14ac:dyDescent="0.35">
      <c r="A13" s="7"/>
      <c r="B13" s="17" t="s">
        <v>43</v>
      </c>
      <c r="C13" s="13" t="s">
        <v>246</v>
      </c>
      <c r="D13" s="32"/>
      <c r="E13" s="58">
        <v>46309</v>
      </c>
      <c r="F13" s="58">
        <v>46309</v>
      </c>
      <c r="G13" s="31">
        <f t="shared" si="56"/>
        <v>1</v>
      </c>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118"/>
      <c r="AM13" s="4"/>
      <c r="AN13" s="4"/>
      <c r="AO13" s="4"/>
      <c r="AP13" s="4"/>
      <c r="AQ13" s="135"/>
      <c r="AR13" s="4"/>
      <c r="AS13" s="4"/>
      <c r="AT13" s="4"/>
      <c r="AU13" s="4"/>
      <c r="AV13" s="4"/>
      <c r="AW13" s="4"/>
      <c r="AX13" s="4"/>
      <c r="AY13" s="4"/>
      <c r="AZ13" s="4"/>
      <c r="BA13" s="4"/>
      <c r="BB13" s="4"/>
      <c r="BC13" s="135"/>
      <c r="BD13" s="4"/>
      <c r="BE13" s="4"/>
      <c r="BF13" s="4"/>
      <c r="BG13" s="4"/>
      <c r="BH13" s="4"/>
      <c r="BI13" s="4"/>
      <c r="BJ13" s="4"/>
      <c r="BK13" s="4"/>
      <c r="BL13" s="4"/>
      <c r="BM13" s="4"/>
      <c r="BN13" s="4"/>
      <c r="BO13" s="135"/>
      <c r="BP13" s="135"/>
      <c r="BQ13" s="135"/>
      <c r="BR13" s="4"/>
      <c r="BS13" s="4"/>
      <c r="BT13" s="118"/>
      <c r="BU13" s="4"/>
      <c r="BV13" s="4"/>
      <c r="BW13" s="4"/>
      <c r="BX13" s="4"/>
      <c r="BY13" s="4"/>
      <c r="BZ13" s="4"/>
      <c r="CA13" s="118"/>
      <c r="CB13" s="4"/>
      <c r="CC13" s="4"/>
      <c r="CD13" s="4"/>
      <c r="CE13" s="135"/>
      <c r="CF13" s="135"/>
      <c r="CG13" s="135"/>
      <c r="CH13" s="135"/>
      <c r="CI13" s="135"/>
      <c r="CJ13" s="135"/>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118"/>
      <c r="DU13" s="4"/>
      <c r="DV13" s="4"/>
      <c r="DW13" s="4"/>
      <c r="DX13" s="4"/>
      <c r="DY13" s="4"/>
      <c r="DZ13" s="4"/>
      <c r="EA13" s="4"/>
      <c r="EB13" s="4"/>
      <c r="EC13" s="4"/>
    </row>
    <row r="14" spans="1:133" s="1" customFormat="1" ht="30" customHeight="1" thickBot="1" x14ac:dyDescent="0.35">
      <c r="A14" s="7"/>
      <c r="B14" s="17" t="s">
        <v>44</v>
      </c>
      <c r="C14" s="13" t="s">
        <v>246</v>
      </c>
      <c r="D14" s="32"/>
      <c r="E14" s="58">
        <v>46309</v>
      </c>
      <c r="F14" s="58">
        <v>46309</v>
      </c>
      <c r="G14" s="31">
        <f t="shared" si="56"/>
        <v>1</v>
      </c>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118"/>
      <c r="AM14" s="4"/>
      <c r="AN14" s="4"/>
      <c r="AO14" s="4"/>
      <c r="AP14" s="4"/>
      <c r="AQ14" s="135"/>
      <c r="AR14" s="4"/>
      <c r="AS14" s="4"/>
      <c r="AT14" s="4"/>
      <c r="AU14" s="4"/>
      <c r="AV14" s="4"/>
      <c r="AW14" s="4"/>
      <c r="AX14" s="4"/>
      <c r="AY14" s="4"/>
      <c r="AZ14" s="4"/>
      <c r="BA14" s="4"/>
      <c r="BB14" s="4"/>
      <c r="BC14" s="135"/>
      <c r="BD14" s="4"/>
      <c r="BE14" s="4"/>
      <c r="BF14" s="4"/>
      <c r="BG14" s="4"/>
      <c r="BH14" s="4"/>
      <c r="BI14" s="4"/>
      <c r="BJ14" s="4"/>
      <c r="BK14" s="4"/>
      <c r="BL14" s="4"/>
      <c r="BM14" s="4"/>
      <c r="BN14" s="4"/>
      <c r="BO14" s="135"/>
      <c r="BP14" s="135"/>
      <c r="BQ14" s="135"/>
      <c r="BR14" s="4"/>
      <c r="BS14" s="4"/>
      <c r="BT14" s="118"/>
      <c r="BU14" s="4"/>
      <c r="BV14" s="4"/>
      <c r="BW14" s="4"/>
      <c r="BX14" s="4"/>
      <c r="BY14" s="4"/>
      <c r="BZ14" s="4"/>
      <c r="CA14" s="118"/>
      <c r="CB14" s="4"/>
      <c r="CC14" s="4"/>
      <c r="CD14" s="4"/>
      <c r="CE14" s="135"/>
      <c r="CF14" s="135"/>
      <c r="CG14" s="135"/>
      <c r="CH14" s="135"/>
      <c r="CI14" s="135"/>
      <c r="CJ14" s="135"/>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118"/>
      <c r="DU14" s="4"/>
      <c r="DV14" s="4"/>
      <c r="DW14" s="4"/>
      <c r="DX14" s="4"/>
      <c r="DY14" s="4"/>
      <c r="DZ14" s="4"/>
      <c r="EA14" s="4"/>
      <c r="EB14" s="4"/>
      <c r="EC14" s="4"/>
    </row>
    <row r="15" spans="1:133" s="1" customFormat="1" ht="30" customHeight="1" thickBot="1" x14ac:dyDescent="0.35">
      <c r="A15" s="8" t="s">
        <v>10</v>
      </c>
      <c r="B15" s="29" t="s">
        <v>45</v>
      </c>
      <c r="C15" s="12"/>
      <c r="D15" s="30"/>
      <c r="E15" s="56"/>
      <c r="F15" s="57"/>
      <c r="G15" s="31" t="str">
        <f t="shared" si="56"/>
        <v/>
      </c>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118"/>
      <c r="AM15" s="4"/>
      <c r="AN15" s="4"/>
      <c r="AO15" s="4"/>
      <c r="AP15" s="4"/>
      <c r="AQ15" s="135"/>
      <c r="AR15" s="4"/>
      <c r="AS15" s="4"/>
      <c r="AT15" s="4"/>
      <c r="AU15" s="4"/>
      <c r="AV15" s="4"/>
      <c r="AW15" s="4"/>
      <c r="AX15" s="4"/>
      <c r="AY15" s="4"/>
      <c r="AZ15" s="4"/>
      <c r="BA15" s="4"/>
      <c r="BB15" s="4"/>
      <c r="BC15" s="135"/>
      <c r="BD15" s="4"/>
      <c r="BE15" s="4"/>
      <c r="BF15" s="4"/>
      <c r="BG15" s="4"/>
      <c r="BH15" s="4"/>
      <c r="BI15" s="4"/>
      <c r="BJ15" s="4"/>
      <c r="BK15" s="4"/>
      <c r="BL15" s="4"/>
      <c r="BM15" s="4"/>
      <c r="BN15" s="4"/>
      <c r="BO15" s="135"/>
      <c r="BP15" s="135"/>
      <c r="BQ15" s="135"/>
      <c r="BR15" s="4"/>
      <c r="BS15" s="4"/>
      <c r="BT15" s="118"/>
      <c r="BU15" s="4"/>
      <c r="BV15" s="4"/>
      <c r="BW15" s="4"/>
      <c r="BX15" s="4"/>
      <c r="BY15" s="4"/>
      <c r="BZ15" s="4"/>
      <c r="CA15" s="118"/>
      <c r="CB15" s="4"/>
      <c r="CC15" s="4"/>
      <c r="CD15" s="4"/>
      <c r="CE15" s="135"/>
      <c r="CF15" s="135"/>
      <c r="CG15" s="135"/>
      <c r="CH15" s="135"/>
      <c r="CI15" s="135"/>
      <c r="CJ15" s="135"/>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118"/>
      <c r="DU15" s="4"/>
      <c r="DV15" s="4"/>
      <c r="DW15" s="4"/>
      <c r="DX15" s="4"/>
      <c r="DY15" s="4"/>
      <c r="DZ15" s="4"/>
      <c r="EA15" s="4"/>
      <c r="EB15" s="4"/>
      <c r="EC15" s="4"/>
    </row>
    <row r="16" spans="1:133" s="1" customFormat="1" ht="30" customHeight="1" thickBot="1" x14ac:dyDescent="0.35">
      <c r="A16" s="8"/>
      <c r="B16" s="17" t="s">
        <v>47</v>
      </c>
      <c r="C16" s="13" t="s">
        <v>246</v>
      </c>
      <c r="D16" s="32"/>
      <c r="E16" s="58">
        <v>46310</v>
      </c>
      <c r="F16" s="58">
        <v>46310</v>
      </c>
      <c r="G16" s="31">
        <f t="shared" si="56"/>
        <v>1</v>
      </c>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118"/>
      <c r="AM16" s="4"/>
      <c r="AN16" s="4"/>
      <c r="AO16" s="4"/>
      <c r="AP16" s="4"/>
      <c r="AQ16" s="135"/>
      <c r="AR16" s="4"/>
      <c r="AS16" s="4"/>
      <c r="AT16" s="4"/>
      <c r="AU16" s="4"/>
      <c r="AV16" s="4"/>
      <c r="AW16" s="4"/>
      <c r="AX16" s="4"/>
      <c r="AY16" s="4"/>
      <c r="AZ16" s="4"/>
      <c r="BA16" s="4"/>
      <c r="BB16" s="4"/>
      <c r="BC16" s="135"/>
      <c r="BD16" s="4"/>
      <c r="BE16" s="4"/>
      <c r="BF16" s="4"/>
      <c r="BG16" s="4"/>
      <c r="BH16" s="4"/>
      <c r="BI16" s="4"/>
      <c r="BJ16" s="4"/>
      <c r="BK16" s="4"/>
      <c r="BL16" s="4"/>
      <c r="BM16" s="4"/>
      <c r="BN16" s="4"/>
      <c r="BO16" s="135"/>
      <c r="BP16" s="135"/>
      <c r="BQ16" s="135"/>
      <c r="BR16" s="4"/>
      <c r="BS16" s="4"/>
      <c r="BT16" s="118"/>
      <c r="BU16" s="4"/>
      <c r="BV16" s="4"/>
      <c r="BW16" s="4"/>
      <c r="BX16" s="4"/>
      <c r="BY16" s="4"/>
      <c r="BZ16" s="4"/>
      <c r="CA16" s="118"/>
      <c r="CB16" s="4"/>
      <c r="CC16" s="4"/>
      <c r="CD16" s="4"/>
      <c r="CE16" s="135"/>
      <c r="CF16" s="135"/>
      <c r="CG16" s="135"/>
      <c r="CH16" s="135"/>
      <c r="CI16" s="135"/>
      <c r="CJ16" s="135"/>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118"/>
      <c r="DU16" s="4"/>
      <c r="DV16" s="4"/>
      <c r="DW16" s="4"/>
      <c r="DX16" s="4"/>
      <c r="DY16" s="4"/>
      <c r="DZ16" s="4"/>
      <c r="EA16" s="4"/>
      <c r="EB16" s="4"/>
      <c r="EC16" s="4"/>
    </row>
    <row r="17" spans="1:133" s="1" customFormat="1" ht="30" customHeight="1" thickBot="1" x14ac:dyDescent="0.35">
      <c r="A17" s="8"/>
      <c r="B17" s="17" t="s">
        <v>48</v>
      </c>
      <c r="C17" s="13" t="s">
        <v>246</v>
      </c>
      <c r="D17" s="32"/>
      <c r="E17" s="58">
        <v>46310</v>
      </c>
      <c r="F17" s="58">
        <v>46310</v>
      </c>
      <c r="G17" s="31">
        <v>1</v>
      </c>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118"/>
      <c r="AM17" s="4"/>
      <c r="AN17" s="4"/>
      <c r="AO17" s="4"/>
      <c r="AP17" s="4"/>
      <c r="AQ17" s="135"/>
      <c r="AR17" s="4"/>
      <c r="AS17" s="4"/>
      <c r="AT17" s="4"/>
      <c r="AU17" s="4"/>
      <c r="AV17" s="4"/>
      <c r="AW17" s="4"/>
      <c r="AX17" s="4"/>
      <c r="AY17" s="4"/>
      <c r="AZ17" s="4"/>
      <c r="BA17" s="4"/>
      <c r="BB17" s="4"/>
      <c r="BC17" s="135"/>
      <c r="BD17" s="4"/>
      <c r="BE17" s="4"/>
      <c r="BF17" s="4"/>
      <c r="BG17" s="4"/>
      <c r="BH17" s="4"/>
      <c r="BI17" s="4"/>
      <c r="BJ17" s="4"/>
      <c r="BK17" s="4"/>
      <c r="BL17" s="4"/>
      <c r="BM17" s="4"/>
      <c r="BN17" s="4"/>
      <c r="BO17" s="135"/>
      <c r="BP17" s="135"/>
      <c r="BQ17" s="135"/>
      <c r="BR17" s="4"/>
      <c r="BS17" s="4"/>
      <c r="BT17" s="118"/>
      <c r="BU17" s="4"/>
      <c r="BV17" s="4"/>
      <c r="BW17" s="4"/>
      <c r="BX17" s="4"/>
      <c r="BY17" s="4"/>
      <c r="BZ17" s="4"/>
      <c r="CA17" s="118"/>
      <c r="CB17" s="4"/>
      <c r="CC17" s="4"/>
      <c r="CD17" s="4"/>
      <c r="CE17" s="135"/>
      <c r="CF17" s="135"/>
      <c r="CG17" s="135"/>
      <c r="CH17" s="135"/>
      <c r="CI17" s="135"/>
      <c r="CJ17" s="135"/>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118"/>
      <c r="DU17" s="4"/>
      <c r="DV17" s="4"/>
      <c r="DW17" s="4"/>
      <c r="DX17" s="4"/>
      <c r="DY17" s="4"/>
      <c r="DZ17" s="4"/>
      <c r="EA17" s="4"/>
      <c r="EB17" s="4"/>
      <c r="EC17" s="4"/>
    </row>
    <row r="18" spans="1:133" s="1" customFormat="1" ht="30" customHeight="1" thickBot="1" x14ac:dyDescent="0.35">
      <c r="A18" s="7"/>
      <c r="B18" s="17" t="s">
        <v>196</v>
      </c>
      <c r="C18" s="13" t="s">
        <v>246</v>
      </c>
      <c r="D18" s="32"/>
      <c r="E18" s="58">
        <v>46310</v>
      </c>
      <c r="F18" s="58">
        <v>46310</v>
      </c>
      <c r="G18" s="31">
        <f t="shared" si="56"/>
        <v>1</v>
      </c>
      <c r="H18" s="4"/>
      <c r="I18" s="4"/>
      <c r="J18" s="4"/>
      <c r="K18" s="4"/>
      <c r="L18" s="4"/>
      <c r="M18" s="4"/>
      <c r="N18" s="4"/>
      <c r="O18" s="4"/>
      <c r="P18" s="4"/>
      <c r="Q18" s="4"/>
      <c r="R18" s="4"/>
      <c r="S18" s="4"/>
      <c r="T18" s="5"/>
      <c r="U18" s="5"/>
      <c r="V18" s="4"/>
      <c r="W18" s="4"/>
      <c r="X18" s="4"/>
      <c r="Y18" s="4"/>
      <c r="Z18" s="4"/>
      <c r="AA18" s="4"/>
      <c r="AB18" s="4"/>
      <c r="AC18" s="4"/>
      <c r="AD18" s="4"/>
      <c r="AE18" s="4"/>
      <c r="AF18" s="4"/>
      <c r="AG18" s="4"/>
      <c r="AH18" s="4"/>
      <c r="AI18" s="4"/>
      <c r="AJ18" s="4"/>
      <c r="AK18" s="4"/>
      <c r="AL18" s="118"/>
      <c r="AM18" s="4"/>
      <c r="AN18" s="4"/>
      <c r="AO18" s="4"/>
      <c r="AP18" s="4"/>
      <c r="AQ18" s="135"/>
      <c r="AR18" s="4"/>
      <c r="AS18" s="4"/>
      <c r="AT18" s="4"/>
      <c r="AU18" s="4"/>
      <c r="AV18" s="4"/>
      <c r="AW18" s="4"/>
      <c r="AX18" s="4"/>
      <c r="AY18" s="4"/>
      <c r="AZ18" s="4"/>
      <c r="BA18" s="4"/>
      <c r="BB18" s="4"/>
      <c r="BC18" s="135"/>
      <c r="BD18" s="4"/>
      <c r="BE18" s="4"/>
      <c r="BF18" s="4"/>
      <c r="BG18" s="4"/>
      <c r="BH18" s="4"/>
      <c r="BI18" s="4"/>
      <c r="BJ18" s="4"/>
      <c r="BK18" s="4"/>
      <c r="BL18" s="4"/>
      <c r="BM18" s="4"/>
      <c r="BN18" s="4"/>
      <c r="BO18" s="135"/>
      <c r="BP18" s="135"/>
      <c r="BQ18" s="137"/>
      <c r="BR18" s="5"/>
      <c r="BS18" s="4"/>
      <c r="BT18" s="118"/>
      <c r="BU18" s="4"/>
      <c r="BV18" s="4"/>
      <c r="BW18" s="4"/>
      <c r="BX18" s="5"/>
      <c r="BY18" s="5"/>
      <c r="BZ18" s="4"/>
      <c r="CA18" s="118"/>
      <c r="CB18" s="4"/>
      <c r="CC18" s="4"/>
      <c r="CD18" s="4"/>
      <c r="CE18" s="135"/>
      <c r="CF18" s="135"/>
      <c r="CG18" s="135"/>
      <c r="CH18" s="135"/>
      <c r="CI18" s="135"/>
      <c r="CJ18" s="135"/>
      <c r="CK18" s="4"/>
      <c r="CL18" s="4"/>
      <c r="CM18" s="4"/>
      <c r="CN18" s="4"/>
      <c r="CO18" s="4"/>
      <c r="CP18" s="4"/>
      <c r="CQ18" s="4"/>
      <c r="CR18" s="4"/>
      <c r="CS18" s="4"/>
      <c r="CT18" s="4"/>
      <c r="CU18" s="4"/>
      <c r="CV18" s="4"/>
      <c r="CW18" s="4"/>
      <c r="CX18" s="4"/>
      <c r="CY18" s="4"/>
      <c r="CZ18" s="4"/>
      <c r="DA18" s="4"/>
      <c r="DB18" s="4"/>
      <c r="DC18" s="4"/>
      <c r="DD18" s="4"/>
      <c r="DE18" s="4"/>
      <c r="DF18" s="4"/>
      <c r="DG18" s="5"/>
      <c r="DH18" s="5"/>
      <c r="DI18" s="4"/>
      <c r="DJ18" s="4"/>
      <c r="DK18" s="4"/>
      <c r="DL18" s="4"/>
      <c r="DM18" s="4"/>
      <c r="DN18" s="5"/>
      <c r="DO18" s="5"/>
      <c r="DP18" s="4"/>
      <c r="DQ18" s="4"/>
      <c r="DR18" s="4"/>
      <c r="DS18" s="4"/>
      <c r="DT18" s="118"/>
      <c r="DU18" s="4"/>
      <c r="DV18" s="4"/>
      <c r="DW18" s="4"/>
      <c r="DX18" s="4"/>
      <c r="DY18" s="4"/>
      <c r="DZ18" s="4"/>
      <c r="EA18" s="4"/>
      <c r="EB18" s="4"/>
      <c r="EC18" s="4"/>
    </row>
    <row r="19" spans="1:133" s="1" customFormat="1" ht="30" customHeight="1" thickBot="1" x14ac:dyDescent="0.35">
      <c r="A19" s="7"/>
      <c r="B19" s="17" t="s">
        <v>49</v>
      </c>
      <c r="C19" s="13" t="s">
        <v>246</v>
      </c>
      <c r="D19" s="32"/>
      <c r="E19" s="58">
        <v>46310</v>
      </c>
      <c r="F19" s="58">
        <v>46310</v>
      </c>
      <c r="G19" s="31">
        <f t="shared" si="56"/>
        <v>1</v>
      </c>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118"/>
      <c r="AM19" s="4"/>
      <c r="AN19" s="4"/>
      <c r="AO19" s="4"/>
      <c r="AP19" s="4"/>
      <c r="AQ19" s="135"/>
      <c r="AR19" s="4"/>
      <c r="AS19" s="4"/>
      <c r="AT19" s="4"/>
      <c r="AU19" s="4"/>
      <c r="AV19" s="4"/>
      <c r="AW19" s="4"/>
      <c r="AX19" s="4"/>
      <c r="AY19" s="4"/>
      <c r="AZ19" s="4"/>
      <c r="BA19" s="4"/>
      <c r="BB19" s="4"/>
      <c r="BC19" s="135"/>
      <c r="BD19" s="4"/>
      <c r="BE19" s="4"/>
      <c r="BF19" s="4"/>
      <c r="BG19" s="4"/>
      <c r="BH19" s="4"/>
      <c r="BI19" s="4"/>
      <c r="BJ19" s="4"/>
      <c r="BK19" s="4"/>
      <c r="BL19" s="4"/>
      <c r="BM19" s="4"/>
      <c r="BN19" s="4"/>
      <c r="BO19" s="135"/>
      <c r="BP19" s="135"/>
      <c r="BQ19" s="135"/>
      <c r="BR19" s="4"/>
      <c r="BS19" s="4"/>
      <c r="BT19" s="118"/>
      <c r="BU19" s="4"/>
      <c r="BV19" s="4"/>
      <c r="BW19" s="4"/>
      <c r="BX19" s="4"/>
      <c r="BY19" s="4"/>
      <c r="BZ19" s="4"/>
      <c r="CA19" s="118"/>
      <c r="CB19" s="4"/>
      <c r="CC19" s="4"/>
      <c r="CD19" s="4"/>
      <c r="CE19" s="135"/>
      <c r="CF19" s="135"/>
      <c r="CG19" s="135"/>
      <c r="CH19" s="135"/>
      <c r="CI19" s="135"/>
      <c r="CJ19" s="135"/>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118"/>
      <c r="DU19" s="4"/>
      <c r="DV19" s="4"/>
      <c r="DW19" s="4"/>
      <c r="DX19" s="4"/>
      <c r="DY19" s="4"/>
      <c r="DZ19" s="4"/>
      <c r="EA19" s="4"/>
      <c r="EB19" s="4"/>
      <c r="EC19" s="4"/>
    </row>
    <row r="20" spans="1:133" s="1" customFormat="1" ht="30" customHeight="1" thickBot="1" x14ac:dyDescent="0.35">
      <c r="A20" s="7"/>
      <c r="B20" s="17" t="s">
        <v>53</v>
      </c>
      <c r="C20" s="13" t="s">
        <v>246</v>
      </c>
      <c r="D20" s="32"/>
      <c r="E20" s="58">
        <v>46311</v>
      </c>
      <c r="F20" s="58">
        <v>46311</v>
      </c>
      <c r="G20" s="31">
        <f t="shared" si="56"/>
        <v>1</v>
      </c>
      <c r="H20" s="4"/>
      <c r="I20" s="4"/>
      <c r="J20" s="4"/>
      <c r="K20" s="4"/>
      <c r="L20" s="4"/>
      <c r="M20" s="4"/>
      <c r="N20" s="4"/>
      <c r="O20" s="4"/>
      <c r="P20" s="4"/>
      <c r="Q20" s="4"/>
      <c r="R20" s="4"/>
      <c r="S20" s="4"/>
      <c r="T20" s="4"/>
      <c r="U20" s="4"/>
      <c r="V20" s="4"/>
      <c r="W20" s="4"/>
      <c r="X20" s="5"/>
      <c r="Y20" s="4"/>
      <c r="Z20" s="4"/>
      <c r="AA20" s="4"/>
      <c r="AB20" s="4"/>
      <c r="AC20" s="4"/>
      <c r="AD20" s="4"/>
      <c r="AE20" s="4"/>
      <c r="AF20" s="4"/>
      <c r="AG20" s="4"/>
      <c r="AH20" s="4"/>
      <c r="AI20" s="4"/>
      <c r="AJ20" s="4"/>
      <c r="AK20" s="4"/>
      <c r="AL20" s="118"/>
      <c r="AM20" s="4"/>
      <c r="AN20" s="4"/>
      <c r="AO20" s="4"/>
      <c r="AP20" s="4"/>
      <c r="AQ20" s="135"/>
      <c r="AR20" s="4"/>
      <c r="AS20" s="4"/>
      <c r="AT20" s="4"/>
      <c r="AU20" s="4"/>
      <c r="AV20" s="4"/>
      <c r="AW20" s="4"/>
      <c r="AX20" s="4"/>
      <c r="AY20" s="4"/>
      <c r="AZ20" s="4"/>
      <c r="BA20" s="4"/>
      <c r="BB20" s="4"/>
      <c r="BC20" s="135"/>
      <c r="BD20" s="4"/>
      <c r="BE20" s="4"/>
      <c r="BF20" s="4"/>
      <c r="BG20" s="4"/>
      <c r="BH20" s="4"/>
      <c r="BI20" s="4"/>
      <c r="BJ20" s="4"/>
      <c r="BK20" s="4"/>
      <c r="BL20" s="4"/>
      <c r="BM20" s="4"/>
      <c r="BN20" s="4"/>
      <c r="BO20" s="135"/>
      <c r="BP20" s="135"/>
      <c r="BQ20" s="135"/>
      <c r="BR20" s="4"/>
      <c r="BS20" s="4"/>
      <c r="BT20" s="118"/>
      <c r="BU20" s="4"/>
      <c r="BV20" s="4"/>
      <c r="BW20" s="4"/>
      <c r="BX20" s="4"/>
      <c r="BY20" s="4"/>
      <c r="BZ20" s="4"/>
      <c r="CA20" s="118"/>
      <c r="CB20" s="5"/>
      <c r="CC20" s="4"/>
      <c r="CD20" s="4"/>
      <c r="CE20" s="135"/>
      <c r="CF20" s="135"/>
      <c r="CG20" s="135"/>
      <c r="CH20" s="135"/>
      <c r="CI20" s="135"/>
      <c r="CJ20" s="135"/>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5"/>
      <c r="DS20" s="4"/>
      <c r="DT20" s="118"/>
      <c r="DU20" s="4"/>
      <c r="DV20" s="4"/>
      <c r="DW20" s="4"/>
      <c r="DX20" s="4"/>
      <c r="DY20" s="4"/>
      <c r="DZ20" s="4"/>
      <c r="EA20" s="4"/>
      <c r="EB20" s="4"/>
      <c r="EC20" s="4"/>
    </row>
    <row r="21" spans="1:133" s="1" customFormat="1" ht="30" customHeight="1" thickBot="1" x14ac:dyDescent="0.35">
      <c r="A21" s="7"/>
      <c r="B21" s="17" t="s">
        <v>54</v>
      </c>
      <c r="C21" s="13" t="s">
        <v>246</v>
      </c>
      <c r="D21" s="32"/>
      <c r="E21" s="58">
        <v>46311</v>
      </c>
      <c r="F21" s="58">
        <v>46311</v>
      </c>
      <c r="G21" s="31">
        <f t="shared" si="56"/>
        <v>1</v>
      </c>
      <c r="H21" s="4"/>
      <c r="I21" s="4"/>
      <c r="J21" s="4"/>
      <c r="K21" s="4"/>
      <c r="L21" s="4"/>
      <c r="M21" s="4"/>
      <c r="N21" s="4"/>
      <c r="O21" s="4"/>
      <c r="P21" s="4"/>
      <c r="Q21" s="4"/>
      <c r="R21" s="4"/>
      <c r="S21" s="4"/>
      <c r="T21" s="4"/>
      <c r="U21" s="4"/>
      <c r="V21" s="4"/>
      <c r="W21" s="4"/>
      <c r="X21" s="5"/>
      <c r="Y21" s="4"/>
      <c r="Z21" s="4"/>
      <c r="AA21" s="4"/>
      <c r="AB21" s="4"/>
      <c r="AC21" s="4"/>
      <c r="AD21" s="4"/>
      <c r="AE21" s="4"/>
      <c r="AF21" s="4"/>
      <c r="AG21" s="4"/>
      <c r="AH21" s="4"/>
      <c r="AI21" s="4"/>
      <c r="AJ21" s="4"/>
      <c r="AK21" s="4"/>
      <c r="AL21" s="118"/>
      <c r="AM21" s="4"/>
      <c r="AN21" s="4"/>
      <c r="AO21" s="4"/>
      <c r="AP21" s="4"/>
      <c r="AQ21" s="135"/>
      <c r="AR21" s="4"/>
      <c r="AS21" s="4"/>
      <c r="AT21" s="4"/>
      <c r="AU21" s="4"/>
      <c r="AV21" s="4"/>
      <c r="AW21" s="4"/>
      <c r="AX21" s="4"/>
      <c r="AY21" s="4"/>
      <c r="AZ21" s="4"/>
      <c r="BA21" s="4"/>
      <c r="BB21" s="4"/>
      <c r="BC21" s="135"/>
      <c r="BD21" s="4"/>
      <c r="BE21" s="4"/>
      <c r="BF21" s="4"/>
      <c r="BG21" s="4"/>
      <c r="BH21" s="4"/>
      <c r="BI21" s="4"/>
      <c r="BJ21" s="4"/>
      <c r="BK21" s="4"/>
      <c r="BL21" s="4"/>
      <c r="BM21" s="4"/>
      <c r="BN21" s="4"/>
      <c r="BO21" s="135"/>
      <c r="BP21" s="135"/>
      <c r="BQ21" s="135"/>
      <c r="BR21" s="4"/>
      <c r="BS21" s="4"/>
      <c r="BT21" s="118"/>
      <c r="BU21" s="4"/>
      <c r="BV21" s="4"/>
      <c r="BW21" s="4"/>
      <c r="BX21" s="4"/>
      <c r="BY21" s="4"/>
      <c r="BZ21" s="4"/>
      <c r="CA21" s="118"/>
      <c r="CB21" s="5"/>
      <c r="CC21" s="4"/>
      <c r="CD21" s="4"/>
      <c r="CE21" s="135"/>
      <c r="CF21" s="135"/>
      <c r="CG21" s="135"/>
      <c r="CH21" s="135"/>
      <c r="CI21" s="135"/>
      <c r="CJ21" s="135"/>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5"/>
      <c r="DS21" s="4"/>
      <c r="DT21" s="118"/>
      <c r="DU21" s="4"/>
      <c r="DV21" s="4"/>
      <c r="DW21" s="4"/>
      <c r="DX21" s="4"/>
      <c r="DY21" s="4"/>
      <c r="DZ21" s="4"/>
      <c r="EA21" s="4"/>
      <c r="EB21" s="4"/>
      <c r="EC21" s="4"/>
    </row>
    <row r="22" spans="1:133" s="1" customFormat="1" ht="30" customHeight="1" thickBot="1" x14ac:dyDescent="0.35">
      <c r="A22" s="7"/>
      <c r="B22" s="17" t="s">
        <v>52</v>
      </c>
      <c r="C22" s="13" t="s">
        <v>246</v>
      </c>
      <c r="D22" s="32"/>
      <c r="E22" s="58">
        <v>46311</v>
      </c>
      <c r="F22" s="58">
        <v>46311</v>
      </c>
      <c r="G22" s="31">
        <f t="shared" si="56"/>
        <v>1</v>
      </c>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118"/>
      <c r="AM22" s="4"/>
      <c r="AN22" s="4"/>
      <c r="AO22" s="4"/>
      <c r="AP22" s="4"/>
      <c r="AQ22" s="135"/>
      <c r="AR22" s="4"/>
      <c r="AS22" s="4"/>
      <c r="AT22" s="4"/>
      <c r="AU22" s="4"/>
      <c r="AV22" s="4"/>
      <c r="AW22" s="4"/>
      <c r="AX22" s="4"/>
      <c r="AY22" s="4"/>
      <c r="AZ22" s="4"/>
      <c r="BA22" s="4"/>
      <c r="BB22" s="4"/>
      <c r="BC22" s="135"/>
      <c r="BD22" s="4"/>
      <c r="BE22" s="4"/>
      <c r="BF22" s="4"/>
      <c r="BG22" s="4"/>
      <c r="BH22" s="4"/>
      <c r="BI22" s="4"/>
      <c r="BJ22" s="4"/>
      <c r="BK22" s="4"/>
      <c r="BL22" s="4"/>
      <c r="BM22" s="4"/>
      <c r="BN22" s="4"/>
      <c r="BO22" s="135"/>
      <c r="BP22" s="135"/>
      <c r="BQ22" s="135"/>
      <c r="BR22" s="4"/>
      <c r="BS22" s="4"/>
      <c r="BT22" s="118"/>
      <c r="BU22" s="4"/>
      <c r="BV22" s="4"/>
      <c r="BW22" s="4"/>
      <c r="BX22" s="4"/>
      <c r="BY22" s="4"/>
      <c r="BZ22" s="4"/>
      <c r="CA22" s="118"/>
      <c r="CB22" s="4"/>
      <c r="CC22" s="4"/>
      <c r="CD22" s="4"/>
      <c r="CE22" s="135"/>
      <c r="CF22" s="135"/>
      <c r="CG22" s="135"/>
      <c r="CH22" s="135"/>
      <c r="CI22" s="135"/>
      <c r="CJ22" s="135"/>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118"/>
      <c r="DU22" s="4"/>
      <c r="DV22" s="4"/>
      <c r="DW22" s="4"/>
      <c r="DX22" s="4"/>
      <c r="DY22" s="4"/>
      <c r="DZ22" s="4"/>
      <c r="EA22" s="4"/>
      <c r="EB22" s="4"/>
      <c r="EC22" s="4"/>
    </row>
    <row r="23" spans="1:133" s="1" customFormat="1" ht="30" customHeight="1" thickBot="1" x14ac:dyDescent="0.35">
      <c r="A23" s="7"/>
      <c r="B23" s="17" t="s">
        <v>51</v>
      </c>
      <c r="C23" s="13" t="s">
        <v>246</v>
      </c>
      <c r="D23" s="32"/>
      <c r="E23" s="58">
        <v>46311</v>
      </c>
      <c r="F23" s="58">
        <v>46311</v>
      </c>
      <c r="G23" s="31">
        <v>1</v>
      </c>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118"/>
      <c r="AM23" s="4"/>
      <c r="AN23" s="4"/>
      <c r="AO23" s="4"/>
      <c r="AP23" s="4"/>
      <c r="AQ23" s="135"/>
      <c r="AR23" s="4"/>
      <c r="AS23" s="4"/>
      <c r="AT23" s="4"/>
      <c r="AU23" s="4"/>
      <c r="AV23" s="4"/>
      <c r="AW23" s="4"/>
      <c r="AX23" s="4"/>
      <c r="AY23" s="4"/>
      <c r="AZ23" s="4"/>
      <c r="BA23" s="4"/>
      <c r="BB23" s="4"/>
      <c r="BC23" s="135"/>
      <c r="BD23" s="4"/>
      <c r="BE23" s="4"/>
      <c r="BF23" s="4"/>
      <c r="BG23" s="4"/>
      <c r="BH23" s="4"/>
      <c r="BI23" s="4"/>
      <c r="BJ23" s="4"/>
      <c r="BK23" s="4"/>
      <c r="BL23" s="4"/>
      <c r="BM23" s="4"/>
      <c r="BN23" s="4"/>
      <c r="BO23" s="135"/>
      <c r="BP23" s="135"/>
      <c r="BQ23" s="135"/>
      <c r="BR23" s="4"/>
      <c r="BS23" s="4"/>
      <c r="BT23" s="118"/>
      <c r="BU23" s="4"/>
      <c r="BV23" s="4"/>
      <c r="BW23" s="4"/>
      <c r="BX23" s="4"/>
      <c r="BY23" s="4"/>
      <c r="BZ23" s="4"/>
      <c r="CA23" s="118"/>
      <c r="CB23" s="4"/>
      <c r="CC23" s="4"/>
      <c r="CD23" s="4"/>
      <c r="CE23" s="135"/>
      <c r="CF23" s="135"/>
      <c r="CG23" s="135"/>
      <c r="CH23" s="135"/>
      <c r="CI23" s="135"/>
      <c r="CJ23" s="135"/>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118"/>
      <c r="DU23" s="4"/>
      <c r="DV23" s="4"/>
      <c r="DW23" s="4"/>
      <c r="DX23" s="4"/>
      <c r="DY23" s="4"/>
      <c r="DZ23" s="4"/>
      <c r="EA23" s="4"/>
      <c r="EB23" s="4"/>
      <c r="EC23" s="4"/>
    </row>
    <row r="24" spans="1:133" s="1" customFormat="1" ht="30" customHeight="1" thickBot="1" x14ac:dyDescent="0.35">
      <c r="A24" s="7"/>
      <c r="B24" s="17" t="s">
        <v>88</v>
      </c>
      <c r="C24" s="13" t="s">
        <v>246</v>
      </c>
      <c r="D24" s="32"/>
      <c r="E24" s="58">
        <v>46311</v>
      </c>
      <c r="F24" s="58">
        <v>46311</v>
      </c>
      <c r="G24" s="31">
        <f t="shared" si="56"/>
        <v>1</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118"/>
      <c r="AM24" s="4"/>
      <c r="AN24" s="4"/>
      <c r="AO24" s="4"/>
      <c r="AP24" s="4"/>
      <c r="AQ24" s="135"/>
      <c r="AR24" s="4"/>
      <c r="AS24" s="4"/>
      <c r="AT24" s="4"/>
      <c r="AU24" s="4"/>
      <c r="AV24" s="4"/>
      <c r="AW24" s="4"/>
      <c r="AX24" s="4"/>
      <c r="AY24" s="4"/>
      <c r="AZ24" s="4"/>
      <c r="BA24" s="4"/>
      <c r="BB24" s="4"/>
      <c r="BC24" s="135"/>
      <c r="BD24" s="4"/>
      <c r="BE24" s="4"/>
      <c r="BF24" s="4"/>
      <c r="BG24" s="4"/>
      <c r="BH24" s="4"/>
      <c r="BI24" s="4"/>
      <c r="BJ24" s="4"/>
      <c r="BK24" s="4"/>
      <c r="BL24" s="4"/>
      <c r="BM24" s="4"/>
      <c r="BN24" s="4"/>
      <c r="BO24" s="135"/>
      <c r="BP24" s="135"/>
      <c r="BQ24" s="135"/>
      <c r="BR24" s="4"/>
      <c r="BS24" s="4"/>
      <c r="BT24" s="118"/>
      <c r="BU24" s="4"/>
      <c r="BV24" s="4"/>
      <c r="BW24" s="4"/>
      <c r="BX24" s="4"/>
      <c r="BY24" s="4"/>
      <c r="BZ24" s="4"/>
      <c r="CA24" s="118"/>
      <c r="CB24" s="4"/>
      <c r="CC24" s="4"/>
      <c r="CD24" s="4"/>
      <c r="CE24" s="135"/>
      <c r="CF24" s="135"/>
      <c r="CG24" s="135"/>
      <c r="CH24" s="135"/>
      <c r="CI24" s="135"/>
      <c r="CJ24" s="135"/>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118"/>
      <c r="DU24" s="4"/>
      <c r="DV24" s="4"/>
      <c r="DW24" s="4"/>
      <c r="DX24" s="4"/>
      <c r="DY24" s="4"/>
      <c r="DZ24" s="4"/>
      <c r="EA24" s="4"/>
      <c r="EB24" s="4"/>
      <c r="EC24" s="4"/>
    </row>
    <row r="25" spans="1:133" s="1" customFormat="1" ht="30" customHeight="1" thickBot="1" x14ac:dyDescent="0.35">
      <c r="A25" s="7"/>
      <c r="B25" s="17" t="s">
        <v>55</v>
      </c>
      <c r="C25" s="13" t="s">
        <v>246</v>
      </c>
      <c r="D25" s="32"/>
      <c r="E25" s="58">
        <v>46312</v>
      </c>
      <c r="F25" s="58">
        <v>46312</v>
      </c>
      <c r="G25" s="31">
        <f t="shared" si="56"/>
        <v>1</v>
      </c>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118"/>
      <c r="AM25" s="4"/>
      <c r="AN25" s="4"/>
      <c r="AO25" s="4"/>
      <c r="AP25" s="4"/>
      <c r="AQ25" s="135"/>
      <c r="AR25" s="4"/>
      <c r="AS25" s="4"/>
      <c r="AT25" s="4"/>
      <c r="AU25" s="4"/>
      <c r="AV25" s="4"/>
      <c r="AW25" s="4"/>
      <c r="AX25" s="4"/>
      <c r="AY25" s="4"/>
      <c r="AZ25" s="4"/>
      <c r="BA25" s="4"/>
      <c r="BB25" s="4"/>
      <c r="BC25" s="135"/>
      <c r="BD25" s="4"/>
      <c r="BE25" s="4"/>
      <c r="BF25" s="4"/>
      <c r="BG25" s="4"/>
      <c r="BH25" s="4"/>
      <c r="BI25" s="4"/>
      <c r="BJ25" s="4"/>
      <c r="BK25" s="4"/>
      <c r="BL25" s="4"/>
      <c r="BM25" s="4"/>
      <c r="BN25" s="4"/>
      <c r="BO25" s="135"/>
      <c r="BP25" s="135"/>
      <c r="BQ25" s="135"/>
      <c r="BR25" s="4"/>
      <c r="BS25" s="4"/>
      <c r="BT25" s="118"/>
      <c r="BU25" s="4"/>
      <c r="BV25" s="4"/>
      <c r="BW25" s="4"/>
      <c r="BX25" s="4"/>
      <c r="BY25" s="4"/>
      <c r="BZ25" s="4"/>
      <c r="CA25" s="118"/>
      <c r="CB25" s="4"/>
      <c r="CC25" s="4"/>
      <c r="CD25" s="4"/>
      <c r="CE25" s="135"/>
      <c r="CF25" s="135"/>
      <c r="CG25" s="135"/>
      <c r="CH25" s="135"/>
      <c r="CI25" s="135"/>
      <c r="CJ25" s="135"/>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118"/>
      <c r="DU25" s="4"/>
      <c r="DV25" s="4"/>
      <c r="DW25" s="4"/>
      <c r="DX25" s="4"/>
      <c r="DY25" s="4"/>
      <c r="DZ25" s="4"/>
      <c r="EA25" s="4"/>
      <c r="EB25" s="4"/>
      <c r="EC25" s="4"/>
    </row>
    <row r="26" spans="1:133" s="1" customFormat="1" ht="30" customHeight="1" thickBot="1" x14ac:dyDescent="0.35">
      <c r="A26" s="7"/>
      <c r="B26" s="17" t="s">
        <v>56</v>
      </c>
      <c r="C26" s="13" t="s">
        <v>246</v>
      </c>
      <c r="D26" s="32"/>
      <c r="E26" s="58">
        <v>46312</v>
      </c>
      <c r="F26" s="58">
        <v>46312</v>
      </c>
      <c r="G26" s="31">
        <f t="shared" si="56"/>
        <v>1</v>
      </c>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118"/>
      <c r="AM26" s="4"/>
      <c r="AN26" s="4"/>
      <c r="AO26" s="4"/>
      <c r="AP26" s="4"/>
      <c r="AQ26" s="135"/>
      <c r="AR26" s="4"/>
      <c r="AS26" s="4"/>
      <c r="AT26" s="4"/>
      <c r="AU26" s="4"/>
      <c r="AV26" s="4"/>
      <c r="AW26" s="4"/>
      <c r="AX26" s="4"/>
      <c r="AY26" s="4"/>
      <c r="AZ26" s="4"/>
      <c r="BA26" s="4"/>
      <c r="BB26" s="4"/>
      <c r="BC26" s="135"/>
      <c r="BD26" s="4"/>
      <c r="BE26" s="4"/>
      <c r="BF26" s="4"/>
      <c r="BG26" s="4"/>
      <c r="BH26" s="4"/>
      <c r="BI26" s="4"/>
      <c r="BJ26" s="4"/>
      <c r="BK26" s="4"/>
      <c r="BL26" s="4"/>
      <c r="BM26" s="4"/>
      <c r="BN26" s="4"/>
      <c r="BO26" s="135"/>
      <c r="BP26" s="135"/>
      <c r="BQ26" s="135"/>
      <c r="BR26" s="4"/>
      <c r="BS26" s="4"/>
      <c r="BT26" s="118"/>
      <c r="BU26" s="4"/>
      <c r="BV26" s="4"/>
      <c r="BW26" s="4"/>
      <c r="BX26" s="4"/>
      <c r="BY26" s="4"/>
      <c r="BZ26" s="4"/>
      <c r="CA26" s="118"/>
      <c r="CB26" s="4"/>
      <c r="CC26" s="4"/>
      <c r="CD26" s="4"/>
      <c r="CE26" s="135"/>
      <c r="CF26" s="135"/>
      <c r="CG26" s="135"/>
      <c r="CH26" s="135"/>
      <c r="CI26" s="135"/>
      <c r="CJ26" s="135"/>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118"/>
      <c r="DU26" s="4"/>
      <c r="DV26" s="4"/>
      <c r="DW26" s="4"/>
      <c r="DX26" s="4"/>
      <c r="DY26" s="4"/>
      <c r="DZ26" s="4"/>
      <c r="EA26" s="4"/>
      <c r="EB26" s="4"/>
      <c r="EC26" s="4"/>
    </row>
    <row r="27" spans="1:133" s="1" customFormat="1" ht="30" customHeight="1" thickBot="1" x14ac:dyDescent="0.35">
      <c r="A27" s="7"/>
      <c r="B27" s="17" t="s">
        <v>58</v>
      </c>
      <c r="C27" s="13" t="s">
        <v>246</v>
      </c>
      <c r="D27" s="32"/>
      <c r="E27" s="58">
        <v>46312</v>
      </c>
      <c r="F27" s="58">
        <v>46312</v>
      </c>
      <c r="G27" s="31">
        <f t="shared" si="56"/>
        <v>1</v>
      </c>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118"/>
      <c r="AM27" s="4"/>
      <c r="AN27" s="4"/>
      <c r="AO27" s="4"/>
      <c r="AP27" s="4"/>
      <c r="AQ27" s="135"/>
      <c r="AR27" s="4"/>
      <c r="AS27" s="4"/>
      <c r="AT27" s="4"/>
      <c r="AU27" s="4"/>
      <c r="AV27" s="4"/>
      <c r="AW27" s="4"/>
      <c r="AX27" s="4"/>
      <c r="AY27" s="4"/>
      <c r="AZ27" s="4"/>
      <c r="BA27" s="4"/>
      <c r="BB27" s="4"/>
      <c r="BC27" s="135"/>
      <c r="BD27" s="4"/>
      <c r="BE27" s="4"/>
      <c r="BF27" s="4"/>
      <c r="BG27" s="4"/>
      <c r="BH27" s="4"/>
      <c r="BI27" s="4"/>
      <c r="BJ27" s="4"/>
      <c r="BK27" s="4"/>
      <c r="BL27" s="4"/>
      <c r="BM27" s="4"/>
      <c r="BN27" s="4"/>
      <c r="BO27" s="135"/>
      <c r="BP27" s="135"/>
      <c r="BQ27" s="135"/>
      <c r="BR27" s="4"/>
      <c r="BS27" s="4"/>
      <c r="BT27" s="118"/>
      <c r="BU27" s="4"/>
      <c r="BV27" s="4"/>
      <c r="BW27" s="4"/>
      <c r="BX27" s="4"/>
      <c r="BY27" s="4"/>
      <c r="BZ27" s="4"/>
      <c r="CA27" s="118"/>
      <c r="CB27" s="4"/>
      <c r="CC27" s="4"/>
      <c r="CD27" s="4"/>
      <c r="CE27" s="135"/>
      <c r="CF27" s="135"/>
      <c r="CG27" s="135"/>
      <c r="CH27" s="135"/>
      <c r="CI27" s="135"/>
      <c r="CJ27" s="135"/>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118"/>
      <c r="DU27" s="4"/>
      <c r="DV27" s="4"/>
      <c r="DW27" s="4"/>
      <c r="DX27" s="4"/>
      <c r="DY27" s="4"/>
      <c r="DZ27" s="4"/>
      <c r="EA27" s="4"/>
      <c r="EB27" s="4"/>
      <c r="EC27" s="4"/>
    </row>
    <row r="28" spans="1:133" s="1" customFormat="1" ht="30" customHeight="1" thickBot="1" x14ac:dyDescent="0.35">
      <c r="A28" s="7"/>
      <c r="B28" s="17" t="s">
        <v>63</v>
      </c>
      <c r="C28" s="13" t="s">
        <v>246</v>
      </c>
      <c r="D28" s="32"/>
      <c r="E28" s="58">
        <v>46312</v>
      </c>
      <c r="F28" s="58">
        <v>46312</v>
      </c>
      <c r="G28" s="31">
        <f t="shared" si="56"/>
        <v>1</v>
      </c>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118"/>
      <c r="AM28" s="4"/>
      <c r="AN28" s="4"/>
      <c r="AO28" s="4"/>
      <c r="AP28" s="4"/>
      <c r="AQ28" s="135"/>
      <c r="AR28" s="4"/>
      <c r="AS28" s="4"/>
      <c r="AT28" s="4"/>
      <c r="AU28" s="4"/>
      <c r="AV28" s="4"/>
      <c r="AW28" s="4"/>
      <c r="AX28" s="4"/>
      <c r="AY28" s="4"/>
      <c r="AZ28" s="4"/>
      <c r="BA28" s="4"/>
      <c r="BB28" s="4"/>
      <c r="BC28" s="135"/>
      <c r="BD28" s="4"/>
      <c r="BE28" s="4"/>
      <c r="BF28" s="4"/>
      <c r="BG28" s="4"/>
      <c r="BH28" s="4"/>
      <c r="BI28" s="4"/>
      <c r="BJ28" s="4"/>
      <c r="BK28" s="4"/>
      <c r="BL28" s="4"/>
      <c r="BM28" s="4"/>
      <c r="BN28" s="4"/>
      <c r="BO28" s="135"/>
      <c r="BP28" s="135"/>
      <c r="BQ28" s="135"/>
      <c r="BR28" s="4"/>
      <c r="BS28" s="4"/>
      <c r="BT28" s="118"/>
      <c r="BU28" s="4"/>
      <c r="BV28" s="4"/>
      <c r="BW28" s="4"/>
      <c r="BX28" s="4"/>
      <c r="BY28" s="4"/>
      <c r="BZ28" s="4"/>
      <c r="CA28" s="118"/>
      <c r="CB28" s="4"/>
      <c r="CC28" s="4"/>
      <c r="CD28" s="4"/>
      <c r="CE28" s="135"/>
      <c r="CF28" s="135"/>
      <c r="CG28" s="135"/>
      <c r="CH28" s="135"/>
      <c r="CI28" s="135"/>
      <c r="CJ28" s="135"/>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118"/>
      <c r="DU28" s="4"/>
      <c r="DV28" s="4"/>
      <c r="DW28" s="4"/>
      <c r="DX28" s="4"/>
      <c r="DY28" s="4"/>
      <c r="DZ28" s="4"/>
      <c r="EA28" s="4"/>
      <c r="EB28" s="4"/>
      <c r="EC28" s="4"/>
    </row>
    <row r="29" spans="1:133" s="1" customFormat="1" ht="30" customHeight="1" thickBot="1" x14ac:dyDescent="0.35">
      <c r="A29" s="7"/>
      <c r="B29" s="17" t="s">
        <v>59</v>
      </c>
      <c r="C29" s="13" t="s">
        <v>246</v>
      </c>
      <c r="D29" s="32"/>
      <c r="E29" s="58">
        <v>46313</v>
      </c>
      <c r="F29" s="58">
        <v>46313</v>
      </c>
      <c r="G29" s="31">
        <f t="shared" si="56"/>
        <v>1</v>
      </c>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118"/>
      <c r="AM29" s="4"/>
      <c r="AN29" s="4"/>
      <c r="AO29" s="4"/>
      <c r="AP29" s="4"/>
      <c r="AQ29" s="135"/>
      <c r="AR29" s="4"/>
      <c r="AS29" s="4"/>
      <c r="AT29" s="4"/>
      <c r="AU29" s="4"/>
      <c r="AV29" s="4"/>
      <c r="AW29" s="4"/>
      <c r="AX29" s="4"/>
      <c r="AY29" s="4"/>
      <c r="AZ29" s="4"/>
      <c r="BA29" s="4"/>
      <c r="BB29" s="4"/>
      <c r="BC29" s="135"/>
      <c r="BD29" s="4"/>
      <c r="BE29" s="4"/>
      <c r="BF29" s="4"/>
      <c r="BG29" s="4"/>
      <c r="BH29" s="4"/>
      <c r="BI29" s="4"/>
      <c r="BJ29" s="4"/>
      <c r="BK29" s="4"/>
      <c r="BL29" s="4"/>
      <c r="BM29" s="4"/>
      <c r="BN29" s="4"/>
      <c r="BO29" s="135"/>
      <c r="BP29" s="135"/>
      <c r="BQ29" s="135"/>
      <c r="BR29" s="4"/>
      <c r="BS29" s="4"/>
      <c r="BT29" s="118"/>
      <c r="BU29" s="4"/>
      <c r="BV29" s="4"/>
      <c r="BW29" s="4"/>
      <c r="BX29" s="4"/>
      <c r="BY29" s="4"/>
      <c r="BZ29" s="4"/>
      <c r="CA29" s="118"/>
      <c r="CB29" s="4"/>
      <c r="CC29" s="4"/>
      <c r="CD29" s="4"/>
      <c r="CE29" s="135"/>
      <c r="CF29" s="135"/>
      <c r="CG29" s="135"/>
      <c r="CH29" s="135"/>
      <c r="CI29" s="135"/>
      <c r="CJ29" s="135"/>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118"/>
      <c r="DU29" s="4"/>
      <c r="DV29" s="4"/>
      <c r="DW29" s="4"/>
      <c r="DX29" s="4"/>
      <c r="DY29" s="4"/>
      <c r="DZ29" s="4"/>
      <c r="EA29" s="4"/>
      <c r="EB29" s="4"/>
      <c r="EC29" s="4"/>
    </row>
    <row r="30" spans="1:133" s="1" customFormat="1" ht="30" customHeight="1" thickBot="1" x14ac:dyDescent="0.35">
      <c r="A30" s="7"/>
      <c r="B30" s="17" t="s">
        <v>60</v>
      </c>
      <c r="C30" s="13" t="s">
        <v>246</v>
      </c>
      <c r="D30" s="32"/>
      <c r="E30" s="58">
        <v>46313</v>
      </c>
      <c r="F30" s="58">
        <v>46313</v>
      </c>
      <c r="G30" s="31">
        <f t="shared" si="56"/>
        <v>1</v>
      </c>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118"/>
      <c r="AM30" s="4"/>
      <c r="AN30" s="4"/>
      <c r="AO30" s="4"/>
      <c r="AP30" s="4"/>
      <c r="AQ30" s="135"/>
      <c r="AR30" s="4"/>
      <c r="AS30" s="4"/>
      <c r="AT30" s="4"/>
      <c r="AU30" s="4"/>
      <c r="AV30" s="4"/>
      <c r="AW30" s="4"/>
      <c r="AX30" s="4"/>
      <c r="AY30" s="4"/>
      <c r="AZ30" s="4"/>
      <c r="BA30" s="4"/>
      <c r="BB30" s="4"/>
      <c r="BC30" s="135"/>
      <c r="BD30" s="4"/>
      <c r="BE30" s="4"/>
      <c r="BF30" s="4"/>
      <c r="BG30" s="4"/>
      <c r="BH30" s="4"/>
      <c r="BI30" s="4"/>
      <c r="BJ30" s="4"/>
      <c r="BK30" s="4"/>
      <c r="BL30" s="4"/>
      <c r="BM30" s="4"/>
      <c r="BN30" s="4"/>
      <c r="BO30" s="135"/>
      <c r="BP30" s="135"/>
      <c r="BQ30" s="135"/>
      <c r="BR30" s="4"/>
      <c r="BS30" s="4"/>
      <c r="BT30" s="118"/>
      <c r="BU30" s="4"/>
      <c r="BV30" s="4"/>
      <c r="BW30" s="4"/>
      <c r="BX30" s="4"/>
      <c r="BY30" s="4"/>
      <c r="BZ30" s="4"/>
      <c r="CA30" s="118"/>
      <c r="CB30" s="4"/>
      <c r="CC30" s="4"/>
      <c r="CD30" s="4"/>
      <c r="CE30" s="135"/>
      <c r="CF30" s="135"/>
      <c r="CG30" s="135"/>
      <c r="CH30" s="135"/>
      <c r="CI30" s="135"/>
      <c r="CJ30" s="135"/>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118"/>
      <c r="DU30" s="4"/>
      <c r="DV30" s="4"/>
      <c r="DW30" s="4"/>
      <c r="DX30" s="4"/>
      <c r="DY30" s="4"/>
      <c r="DZ30" s="4"/>
      <c r="EA30" s="4"/>
      <c r="EB30" s="4"/>
      <c r="EC30" s="4"/>
    </row>
    <row r="31" spans="1:133" s="1" customFormat="1" ht="30" customHeight="1" thickBot="1" x14ac:dyDescent="0.35">
      <c r="A31" s="7"/>
      <c r="B31" s="17" t="s">
        <v>61</v>
      </c>
      <c r="C31" s="13" t="s">
        <v>246</v>
      </c>
      <c r="D31" s="32"/>
      <c r="E31" s="58">
        <v>46313</v>
      </c>
      <c r="F31" s="58">
        <v>46313</v>
      </c>
      <c r="G31" s="31">
        <f t="shared" si="56"/>
        <v>1</v>
      </c>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118"/>
      <c r="AM31" s="4"/>
      <c r="AN31" s="4"/>
      <c r="AO31" s="4"/>
      <c r="AP31" s="4"/>
      <c r="AQ31" s="135"/>
      <c r="AR31" s="4"/>
      <c r="AS31" s="4"/>
      <c r="AT31" s="4"/>
      <c r="AU31" s="4"/>
      <c r="AV31" s="4"/>
      <c r="AW31" s="4"/>
      <c r="AX31" s="4"/>
      <c r="AY31" s="4"/>
      <c r="AZ31" s="4"/>
      <c r="BA31" s="4"/>
      <c r="BB31" s="4"/>
      <c r="BC31" s="135"/>
      <c r="BD31" s="4"/>
      <c r="BE31" s="4"/>
      <c r="BF31" s="4"/>
      <c r="BG31" s="4"/>
      <c r="BH31" s="4"/>
      <c r="BI31" s="4"/>
      <c r="BJ31" s="4"/>
      <c r="BK31" s="4"/>
      <c r="BL31" s="4"/>
      <c r="BM31" s="4"/>
      <c r="BN31" s="4"/>
      <c r="BO31" s="135"/>
      <c r="BP31" s="135"/>
      <c r="BQ31" s="135"/>
      <c r="BR31" s="4"/>
      <c r="BS31" s="4"/>
      <c r="BT31" s="118"/>
      <c r="BU31" s="4"/>
      <c r="BV31" s="4"/>
      <c r="BW31" s="4"/>
      <c r="BX31" s="4"/>
      <c r="BY31" s="4"/>
      <c r="BZ31" s="4"/>
      <c r="CA31" s="118"/>
      <c r="CB31" s="4"/>
      <c r="CC31" s="4"/>
      <c r="CD31" s="4"/>
      <c r="CE31" s="135"/>
      <c r="CF31" s="135"/>
      <c r="CG31" s="135"/>
      <c r="CH31" s="135"/>
      <c r="CI31" s="135"/>
      <c r="CJ31" s="135"/>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118"/>
      <c r="DU31" s="4"/>
      <c r="DV31" s="4"/>
      <c r="DW31" s="4"/>
      <c r="DX31" s="4"/>
      <c r="DY31" s="4"/>
      <c r="DZ31" s="4"/>
      <c r="EA31" s="4"/>
      <c r="EB31" s="4"/>
      <c r="EC31" s="4"/>
    </row>
    <row r="32" spans="1:133" s="1" customFormat="1" ht="30" customHeight="1" thickBot="1" x14ac:dyDescent="0.35">
      <c r="A32" s="7"/>
      <c r="B32" s="17" t="s">
        <v>62</v>
      </c>
      <c r="C32" s="13" t="s">
        <v>246</v>
      </c>
      <c r="D32" s="32"/>
      <c r="E32" s="58">
        <v>46313</v>
      </c>
      <c r="F32" s="58">
        <v>46313</v>
      </c>
      <c r="G32" s="31">
        <v>1</v>
      </c>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118"/>
      <c r="AM32" s="4"/>
      <c r="AN32" s="4"/>
      <c r="AO32" s="4"/>
      <c r="AP32" s="4"/>
      <c r="AQ32" s="135"/>
      <c r="AR32" s="4"/>
      <c r="AS32" s="4"/>
      <c r="AT32" s="4"/>
      <c r="AU32" s="4"/>
      <c r="AV32" s="4"/>
      <c r="AW32" s="4"/>
      <c r="AX32" s="4"/>
      <c r="AY32" s="4"/>
      <c r="AZ32" s="4"/>
      <c r="BA32" s="4"/>
      <c r="BB32" s="4"/>
      <c r="BC32" s="135"/>
      <c r="BD32" s="4"/>
      <c r="BE32" s="4"/>
      <c r="BF32" s="4"/>
      <c r="BG32" s="4"/>
      <c r="BH32" s="4"/>
      <c r="BI32" s="4"/>
      <c r="BJ32" s="4"/>
      <c r="BK32" s="4"/>
      <c r="BL32" s="4"/>
      <c r="BM32" s="4"/>
      <c r="BN32" s="4"/>
      <c r="BO32" s="135"/>
      <c r="BP32" s="135"/>
      <c r="BQ32" s="135"/>
      <c r="BR32" s="4"/>
      <c r="BS32" s="4"/>
      <c r="BT32" s="118"/>
      <c r="BU32" s="4"/>
      <c r="BV32" s="4"/>
      <c r="BW32" s="4"/>
      <c r="BX32" s="4"/>
      <c r="BY32" s="4"/>
      <c r="BZ32" s="4"/>
      <c r="CA32" s="118"/>
      <c r="CB32" s="4"/>
      <c r="CC32" s="4"/>
      <c r="CD32" s="4"/>
      <c r="CE32" s="135"/>
      <c r="CF32" s="135"/>
      <c r="CG32" s="135"/>
      <c r="CH32" s="135"/>
      <c r="CI32" s="135"/>
      <c r="CJ32" s="135"/>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118"/>
      <c r="DU32" s="4"/>
      <c r="DV32" s="4"/>
      <c r="DW32" s="4"/>
      <c r="DX32" s="4"/>
      <c r="DY32" s="4"/>
      <c r="DZ32" s="4"/>
      <c r="EA32" s="4"/>
      <c r="EB32" s="4"/>
      <c r="EC32" s="4"/>
    </row>
    <row r="33" spans="1:133" s="1" customFormat="1" ht="30" customHeight="1" thickBot="1" x14ac:dyDescent="0.35">
      <c r="A33" s="7"/>
      <c r="B33" s="17" t="s">
        <v>238</v>
      </c>
      <c r="C33" s="13" t="s">
        <v>246</v>
      </c>
      <c r="D33" s="32"/>
      <c r="E33" s="58">
        <v>46313</v>
      </c>
      <c r="F33" s="58">
        <v>46313</v>
      </c>
      <c r="G33" s="31">
        <f t="shared" si="56"/>
        <v>1</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118"/>
      <c r="AM33" s="4"/>
      <c r="AN33" s="4"/>
      <c r="AO33" s="4"/>
      <c r="AP33" s="4"/>
      <c r="AQ33" s="135"/>
      <c r="AR33" s="4"/>
      <c r="AS33" s="4"/>
      <c r="AT33" s="4"/>
      <c r="AU33" s="4"/>
      <c r="AV33" s="4"/>
      <c r="AW33" s="4"/>
      <c r="AX33" s="4"/>
      <c r="AY33" s="4"/>
      <c r="AZ33" s="4"/>
      <c r="BA33" s="4"/>
      <c r="BB33" s="4"/>
      <c r="BC33" s="135"/>
      <c r="BD33" s="4"/>
      <c r="BE33" s="4"/>
      <c r="BF33" s="4"/>
      <c r="BG33" s="4"/>
      <c r="BH33" s="4"/>
      <c r="BI33" s="4"/>
      <c r="BJ33" s="4"/>
      <c r="BK33" s="4"/>
      <c r="BL33" s="4"/>
      <c r="BM33" s="4"/>
      <c r="BN33" s="4"/>
      <c r="BO33" s="135"/>
      <c r="BP33" s="135"/>
      <c r="BQ33" s="135"/>
      <c r="BR33" s="4"/>
      <c r="BS33" s="4"/>
      <c r="BT33" s="118"/>
      <c r="BU33" s="4"/>
      <c r="BV33" s="4"/>
      <c r="BW33" s="4"/>
      <c r="BX33" s="4"/>
      <c r="BY33" s="4"/>
      <c r="BZ33" s="4"/>
      <c r="CA33" s="118"/>
      <c r="CB33" s="4"/>
      <c r="CC33" s="4"/>
      <c r="CD33" s="4"/>
      <c r="CE33" s="135"/>
      <c r="CF33" s="135"/>
      <c r="CG33" s="135"/>
      <c r="CH33" s="135"/>
      <c r="CI33" s="135"/>
      <c r="CJ33" s="135"/>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118"/>
      <c r="DU33" s="4"/>
      <c r="DV33" s="4"/>
      <c r="DW33" s="4"/>
      <c r="DX33" s="4"/>
      <c r="DY33" s="4"/>
      <c r="DZ33" s="4"/>
      <c r="EA33" s="4"/>
      <c r="EB33" s="4"/>
      <c r="EC33" s="4"/>
    </row>
    <row r="34" spans="1:133" s="1" customFormat="1" ht="30" customHeight="1" thickBot="1" x14ac:dyDescent="0.35">
      <c r="A34" s="7" t="s">
        <v>11</v>
      </c>
      <c r="B34" s="29" t="s">
        <v>66</v>
      </c>
      <c r="C34" s="12"/>
      <c r="D34" s="30"/>
      <c r="E34" s="56"/>
      <c r="F34" s="57"/>
      <c r="G34" s="31" t="str">
        <f t="shared" si="56"/>
        <v/>
      </c>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118"/>
      <c r="AM34" s="4"/>
      <c r="AN34" s="4"/>
      <c r="AO34" s="4"/>
      <c r="AP34" s="4"/>
      <c r="AQ34" s="135"/>
      <c r="AR34" s="4"/>
      <c r="AS34" s="4"/>
      <c r="AT34" s="4"/>
      <c r="AU34" s="4"/>
      <c r="AV34" s="4"/>
      <c r="AW34" s="4"/>
      <c r="AX34" s="4"/>
      <c r="AY34" s="4"/>
      <c r="AZ34" s="4"/>
      <c r="BA34" s="4"/>
      <c r="BB34" s="4"/>
      <c r="BC34" s="135"/>
      <c r="BD34" s="4"/>
      <c r="BE34" s="4"/>
      <c r="BF34" s="4"/>
      <c r="BG34" s="4"/>
      <c r="BH34" s="4"/>
      <c r="BI34" s="4"/>
      <c r="BJ34" s="4"/>
      <c r="BK34" s="4"/>
      <c r="BL34" s="4"/>
      <c r="BM34" s="4"/>
      <c r="BN34" s="4"/>
      <c r="BO34" s="135"/>
      <c r="BP34" s="135"/>
      <c r="BQ34" s="135"/>
      <c r="BR34" s="4"/>
      <c r="BS34" s="4"/>
      <c r="BT34" s="118"/>
      <c r="BU34" s="4"/>
      <c r="BV34" s="4"/>
      <c r="BW34" s="4"/>
      <c r="BX34" s="4"/>
      <c r="BY34" s="4"/>
      <c r="BZ34" s="4"/>
      <c r="CA34" s="118"/>
      <c r="CB34" s="4"/>
      <c r="CC34" s="4"/>
      <c r="CD34" s="4"/>
      <c r="CE34" s="135"/>
      <c r="CF34" s="135"/>
      <c r="CG34" s="135"/>
      <c r="CH34" s="135"/>
      <c r="CI34" s="135"/>
      <c r="CJ34" s="135"/>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118"/>
      <c r="DU34" s="4"/>
      <c r="DV34" s="4"/>
      <c r="DW34" s="4"/>
      <c r="DX34" s="4"/>
      <c r="DY34" s="4"/>
      <c r="DZ34" s="4"/>
      <c r="EA34" s="4"/>
      <c r="EB34" s="4"/>
      <c r="EC34" s="4"/>
    </row>
    <row r="35" spans="1:133" s="1" customFormat="1" ht="30" customHeight="1" thickBot="1" x14ac:dyDescent="0.35">
      <c r="A35" s="7"/>
      <c r="B35" s="17" t="s">
        <v>64</v>
      </c>
      <c r="C35" s="13" t="s">
        <v>246</v>
      </c>
      <c r="D35" s="32"/>
      <c r="E35" s="58">
        <v>46321</v>
      </c>
      <c r="F35" s="58">
        <v>46321</v>
      </c>
      <c r="G35" s="31">
        <f t="shared" si="56"/>
        <v>1</v>
      </c>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118"/>
      <c r="AM35" s="4"/>
      <c r="AN35" s="4"/>
      <c r="AO35" s="4"/>
      <c r="AP35" s="4"/>
      <c r="AQ35" s="135"/>
      <c r="AR35" s="4"/>
      <c r="AS35" s="4"/>
      <c r="AT35" s="4"/>
      <c r="AU35" s="4"/>
      <c r="AV35" s="4"/>
      <c r="AW35" s="4"/>
      <c r="AX35" s="4"/>
      <c r="AY35" s="4"/>
      <c r="AZ35" s="4"/>
      <c r="BA35" s="4"/>
      <c r="BB35" s="4"/>
      <c r="BC35" s="135"/>
      <c r="BD35" s="4"/>
      <c r="BE35" s="4"/>
      <c r="BF35" s="4"/>
      <c r="BG35" s="4"/>
      <c r="BH35" s="4"/>
      <c r="BI35" s="4"/>
      <c r="BJ35" s="4"/>
      <c r="BK35" s="4"/>
      <c r="BL35" s="4"/>
      <c r="BM35" s="4"/>
      <c r="BN35" s="4"/>
      <c r="BO35" s="135"/>
      <c r="BP35" s="135"/>
      <c r="BQ35" s="135"/>
      <c r="BR35" s="4"/>
      <c r="BS35" s="4"/>
      <c r="BT35" s="118"/>
      <c r="BU35" s="4"/>
      <c r="BV35" s="4"/>
      <c r="BW35" s="4"/>
      <c r="BX35" s="4"/>
      <c r="BY35" s="4"/>
      <c r="BZ35" s="4"/>
      <c r="CA35" s="118"/>
      <c r="CB35" s="4"/>
      <c r="CC35" s="4"/>
      <c r="CD35" s="4"/>
      <c r="CE35" s="135"/>
      <c r="CF35" s="135"/>
      <c r="CG35" s="135"/>
      <c r="CH35" s="135"/>
      <c r="CI35" s="135"/>
      <c r="CJ35" s="135"/>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118"/>
      <c r="DU35" s="4"/>
      <c r="DV35" s="4"/>
      <c r="DW35" s="4"/>
      <c r="DX35" s="4"/>
      <c r="DY35" s="4"/>
      <c r="DZ35" s="4"/>
      <c r="EA35" s="4"/>
      <c r="EB35" s="4"/>
      <c r="EC35" s="4"/>
    </row>
    <row r="36" spans="1:133" s="1" customFormat="1" ht="30" customHeight="1" thickBot="1" x14ac:dyDescent="0.35">
      <c r="A36" s="7"/>
      <c r="B36" s="17" t="s">
        <v>52</v>
      </c>
      <c r="C36" s="13" t="s">
        <v>246</v>
      </c>
      <c r="D36" s="32"/>
      <c r="E36" s="58">
        <v>46321</v>
      </c>
      <c r="F36" s="58">
        <v>46321</v>
      </c>
      <c r="G36" s="31">
        <f t="shared" si="56"/>
        <v>1</v>
      </c>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118"/>
      <c r="AM36" s="4"/>
      <c r="AN36" s="4"/>
      <c r="AO36" s="4"/>
      <c r="AP36" s="4"/>
      <c r="AQ36" s="135"/>
      <c r="AR36" s="4"/>
      <c r="AS36" s="4"/>
      <c r="AT36" s="4"/>
      <c r="AU36" s="4"/>
      <c r="AV36" s="4"/>
      <c r="AW36" s="4"/>
      <c r="AX36" s="4"/>
      <c r="AY36" s="4"/>
      <c r="AZ36" s="4"/>
      <c r="BA36" s="4"/>
      <c r="BB36" s="4"/>
      <c r="BC36" s="135"/>
      <c r="BD36" s="4"/>
      <c r="BE36" s="4"/>
      <c r="BF36" s="4"/>
      <c r="BG36" s="4"/>
      <c r="BH36" s="4"/>
      <c r="BI36" s="4"/>
      <c r="BJ36" s="4"/>
      <c r="BK36" s="4"/>
      <c r="BL36" s="4"/>
      <c r="BM36" s="4"/>
      <c r="BN36" s="4"/>
      <c r="BO36" s="135"/>
      <c r="BP36" s="135"/>
      <c r="BQ36" s="135"/>
      <c r="BR36" s="4"/>
      <c r="BS36" s="4"/>
      <c r="BT36" s="118"/>
      <c r="BU36" s="4"/>
      <c r="BV36" s="4"/>
      <c r="BW36" s="4"/>
      <c r="BX36" s="4"/>
      <c r="BY36" s="4"/>
      <c r="BZ36" s="4"/>
      <c r="CA36" s="118"/>
      <c r="CB36" s="4"/>
      <c r="CC36" s="4"/>
      <c r="CD36" s="4"/>
      <c r="CE36" s="135"/>
      <c r="CF36" s="135"/>
      <c r="CG36" s="135"/>
      <c r="CH36" s="135"/>
      <c r="CI36" s="135"/>
      <c r="CJ36" s="135"/>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118"/>
      <c r="DU36" s="4"/>
      <c r="DV36" s="4"/>
      <c r="DW36" s="4"/>
      <c r="DX36" s="4"/>
      <c r="DY36" s="4"/>
      <c r="DZ36" s="4"/>
      <c r="EA36" s="4"/>
      <c r="EB36" s="4"/>
      <c r="EC36" s="4"/>
    </row>
    <row r="37" spans="1:133" s="1" customFormat="1" ht="30" customHeight="1" thickBot="1" x14ac:dyDescent="0.35">
      <c r="A37" s="7"/>
      <c r="B37" s="17" t="s">
        <v>50</v>
      </c>
      <c r="C37" s="13" t="s">
        <v>246</v>
      </c>
      <c r="D37" s="32"/>
      <c r="E37" s="58">
        <v>46321</v>
      </c>
      <c r="F37" s="58">
        <v>46321</v>
      </c>
      <c r="G37" s="31">
        <f t="shared" si="56"/>
        <v>1</v>
      </c>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118"/>
      <c r="AM37" s="4"/>
      <c r="AN37" s="4"/>
      <c r="AO37" s="4"/>
      <c r="AP37" s="4"/>
      <c r="AQ37" s="135"/>
      <c r="AR37" s="4"/>
      <c r="AS37" s="4"/>
      <c r="AT37" s="4"/>
      <c r="AU37" s="4"/>
      <c r="AV37" s="4"/>
      <c r="AW37" s="4"/>
      <c r="AX37" s="4"/>
      <c r="AY37" s="4"/>
      <c r="AZ37" s="4"/>
      <c r="BA37" s="4"/>
      <c r="BB37" s="4"/>
      <c r="BC37" s="135"/>
      <c r="BD37" s="4"/>
      <c r="BE37" s="4"/>
      <c r="BF37" s="4"/>
      <c r="BG37" s="4"/>
      <c r="BH37" s="4"/>
      <c r="BI37" s="4"/>
      <c r="BJ37" s="4"/>
      <c r="BK37" s="4"/>
      <c r="BL37" s="4"/>
      <c r="BM37" s="4"/>
      <c r="BN37" s="4"/>
      <c r="BO37" s="135"/>
      <c r="BP37" s="135"/>
      <c r="BQ37" s="135"/>
      <c r="BR37" s="4"/>
      <c r="BS37" s="4"/>
      <c r="BT37" s="118"/>
      <c r="BU37" s="4"/>
      <c r="BV37" s="4"/>
      <c r="BW37" s="4"/>
      <c r="BX37" s="4"/>
      <c r="BY37" s="4"/>
      <c r="BZ37" s="4"/>
      <c r="CA37" s="118"/>
      <c r="CB37" s="4"/>
      <c r="CC37" s="4"/>
      <c r="CD37" s="4"/>
      <c r="CE37" s="135"/>
      <c r="CF37" s="135"/>
      <c r="CG37" s="135"/>
      <c r="CH37" s="135"/>
      <c r="CI37" s="135"/>
      <c r="CJ37" s="135"/>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118"/>
      <c r="DU37" s="4"/>
      <c r="DV37" s="4"/>
      <c r="DW37" s="4"/>
      <c r="DX37" s="4"/>
      <c r="DY37" s="4"/>
      <c r="DZ37" s="4"/>
      <c r="EA37" s="4"/>
      <c r="EB37" s="4"/>
      <c r="EC37" s="4"/>
    </row>
    <row r="38" spans="1:133" s="1" customFormat="1" ht="30" customHeight="1" thickBot="1" x14ac:dyDescent="0.35">
      <c r="A38" s="7"/>
      <c r="B38" s="17" t="s">
        <v>65</v>
      </c>
      <c r="C38" s="13" t="s">
        <v>246</v>
      </c>
      <c r="D38" s="32"/>
      <c r="E38" s="58">
        <v>46321</v>
      </c>
      <c r="F38" s="58">
        <v>46321</v>
      </c>
      <c r="G38" s="31">
        <f t="shared" si="56"/>
        <v>1</v>
      </c>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118"/>
      <c r="AM38" s="4"/>
      <c r="AN38" s="4"/>
      <c r="AO38" s="4"/>
      <c r="AP38" s="4"/>
      <c r="AQ38" s="135"/>
      <c r="AR38" s="4"/>
      <c r="AS38" s="4"/>
      <c r="AT38" s="4"/>
      <c r="AU38" s="4"/>
      <c r="AV38" s="4"/>
      <c r="AW38" s="4"/>
      <c r="AX38" s="4"/>
      <c r="AY38" s="4"/>
      <c r="AZ38" s="4"/>
      <c r="BA38" s="4"/>
      <c r="BB38" s="4"/>
      <c r="BC38" s="135"/>
      <c r="BD38" s="4"/>
      <c r="BE38" s="4"/>
      <c r="BF38" s="4"/>
      <c r="BG38" s="4"/>
      <c r="BH38" s="4"/>
      <c r="BI38" s="4"/>
      <c r="BJ38" s="4"/>
      <c r="BK38" s="4"/>
      <c r="BL38" s="4"/>
      <c r="BM38" s="4"/>
      <c r="BN38" s="4"/>
      <c r="BO38" s="135"/>
      <c r="BP38" s="135"/>
      <c r="BQ38" s="135"/>
      <c r="BR38" s="4"/>
      <c r="BS38" s="4"/>
      <c r="BT38" s="118"/>
      <c r="BU38" s="4"/>
      <c r="BV38" s="4"/>
      <c r="BW38" s="4"/>
      <c r="BX38" s="4"/>
      <c r="BY38" s="4"/>
      <c r="BZ38" s="4"/>
      <c r="CA38" s="118"/>
      <c r="CB38" s="4"/>
      <c r="CC38" s="4"/>
      <c r="CD38" s="4"/>
      <c r="CE38" s="135"/>
      <c r="CF38" s="135"/>
      <c r="CG38" s="135"/>
      <c r="CH38" s="135"/>
      <c r="CI38" s="135"/>
      <c r="CJ38" s="135"/>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118"/>
      <c r="DU38" s="4"/>
      <c r="DV38" s="4"/>
      <c r="DW38" s="4"/>
      <c r="DX38" s="4"/>
      <c r="DY38" s="4"/>
      <c r="DZ38" s="4"/>
      <c r="EA38" s="4"/>
      <c r="EB38" s="4"/>
      <c r="EC38" s="4"/>
    </row>
    <row r="39" spans="1:133" s="1" customFormat="1" ht="30" customHeight="1" thickBot="1" x14ac:dyDescent="0.35">
      <c r="A39" s="7"/>
      <c r="B39" s="17" t="s">
        <v>74</v>
      </c>
      <c r="C39" s="13" t="s">
        <v>246</v>
      </c>
      <c r="D39" s="32"/>
      <c r="E39" s="58">
        <v>46322</v>
      </c>
      <c r="F39" s="58">
        <v>46322</v>
      </c>
      <c r="G39" s="31">
        <f t="shared" si="56"/>
        <v>1</v>
      </c>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118"/>
      <c r="AM39" s="4"/>
      <c r="AN39" s="4"/>
      <c r="AO39" s="4"/>
      <c r="AP39" s="4"/>
      <c r="AQ39" s="135"/>
      <c r="AR39" s="4"/>
      <c r="AS39" s="4"/>
      <c r="AT39" s="4"/>
      <c r="AU39" s="4"/>
      <c r="AV39" s="4"/>
      <c r="AW39" s="4"/>
      <c r="AX39" s="4"/>
      <c r="AY39" s="4"/>
      <c r="AZ39" s="4"/>
      <c r="BA39" s="4"/>
      <c r="BB39" s="4"/>
      <c r="BC39" s="135"/>
      <c r="BD39" s="4"/>
      <c r="BE39" s="4"/>
      <c r="BF39" s="4"/>
      <c r="BG39" s="4"/>
      <c r="BH39" s="4"/>
      <c r="BI39" s="4"/>
      <c r="BJ39" s="4"/>
      <c r="BK39" s="4"/>
      <c r="BL39" s="4"/>
      <c r="BM39" s="4"/>
      <c r="BN39" s="4"/>
      <c r="BO39" s="135"/>
      <c r="BP39" s="135"/>
      <c r="BQ39" s="135"/>
      <c r="BR39" s="4"/>
      <c r="BS39" s="4"/>
      <c r="BT39" s="118"/>
      <c r="BU39" s="4"/>
      <c r="BV39" s="4"/>
      <c r="BW39" s="4"/>
      <c r="BX39" s="4"/>
      <c r="BY39" s="4"/>
      <c r="BZ39" s="4"/>
      <c r="CA39" s="118"/>
      <c r="CB39" s="4"/>
      <c r="CC39" s="4"/>
      <c r="CD39" s="4"/>
      <c r="CE39" s="135"/>
      <c r="CF39" s="135"/>
      <c r="CG39" s="135"/>
      <c r="CH39" s="135"/>
      <c r="CI39" s="135"/>
      <c r="CJ39" s="135"/>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118"/>
      <c r="DU39" s="4"/>
      <c r="DV39" s="4"/>
      <c r="DW39" s="4"/>
      <c r="DX39" s="4"/>
      <c r="DY39" s="4"/>
      <c r="DZ39" s="4"/>
      <c r="EA39" s="4"/>
      <c r="EB39" s="4"/>
      <c r="EC39" s="4"/>
    </row>
    <row r="40" spans="1:133" s="1" customFormat="1" ht="30" customHeight="1" thickBot="1" x14ac:dyDescent="0.35">
      <c r="A40" s="7"/>
      <c r="B40" s="17" t="s">
        <v>75</v>
      </c>
      <c r="C40" s="13" t="s">
        <v>246</v>
      </c>
      <c r="D40" s="32"/>
      <c r="E40" s="58">
        <v>46322</v>
      </c>
      <c r="F40" s="58">
        <v>46322</v>
      </c>
      <c r="G40" s="31">
        <f t="shared" si="56"/>
        <v>1</v>
      </c>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118"/>
      <c r="AM40" s="4"/>
      <c r="AN40" s="4"/>
      <c r="AO40" s="4"/>
      <c r="AP40" s="4"/>
      <c r="AQ40" s="135"/>
      <c r="AR40" s="4"/>
      <c r="AS40" s="4"/>
      <c r="AT40" s="4"/>
      <c r="AU40" s="4"/>
      <c r="AV40" s="4"/>
      <c r="AW40" s="4"/>
      <c r="AX40" s="4"/>
      <c r="AY40" s="4"/>
      <c r="AZ40" s="4"/>
      <c r="BA40" s="4"/>
      <c r="BB40" s="4"/>
      <c r="BC40" s="135"/>
      <c r="BD40" s="4"/>
      <c r="BE40" s="4"/>
      <c r="BF40" s="4"/>
      <c r="BG40" s="4"/>
      <c r="BH40" s="4"/>
      <c r="BI40" s="4"/>
      <c r="BJ40" s="4"/>
      <c r="BK40" s="4"/>
      <c r="BL40" s="4"/>
      <c r="BM40" s="4"/>
      <c r="BN40" s="4"/>
      <c r="BO40" s="135"/>
      <c r="BP40" s="135"/>
      <c r="BQ40" s="135"/>
      <c r="BR40" s="4"/>
      <c r="BS40" s="4"/>
      <c r="BT40" s="118"/>
      <c r="BU40" s="4"/>
      <c r="BV40" s="4"/>
      <c r="BW40" s="4"/>
      <c r="BX40" s="4"/>
      <c r="BY40" s="4"/>
      <c r="BZ40" s="4"/>
      <c r="CA40" s="118"/>
      <c r="CB40" s="4"/>
      <c r="CC40" s="4"/>
      <c r="CD40" s="4"/>
      <c r="CE40" s="135"/>
      <c r="CF40" s="135"/>
      <c r="CG40" s="135"/>
      <c r="CH40" s="135"/>
      <c r="CI40" s="135"/>
      <c r="CJ40" s="135"/>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118"/>
      <c r="DU40" s="4"/>
      <c r="DV40" s="4"/>
      <c r="DW40" s="4"/>
      <c r="DX40" s="4"/>
      <c r="DY40" s="4"/>
      <c r="DZ40" s="4"/>
      <c r="EA40" s="4"/>
      <c r="EB40" s="4"/>
      <c r="EC40" s="4"/>
    </row>
    <row r="41" spans="1:133" s="1" customFormat="1" ht="30" customHeight="1" thickBot="1" x14ac:dyDescent="0.35">
      <c r="A41" s="7"/>
      <c r="B41" s="17" t="s">
        <v>72</v>
      </c>
      <c r="C41" s="13" t="s">
        <v>246</v>
      </c>
      <c r="D41" s="32"/>
      <c r="E41" s="58">
        <v>46322</v>
      </c>
      <c r="F41" s="58">
        <v>46322</v>
      </c>
      <c r="G41" s="31">
        <f t="shared" si="56"/>
        <v>1</v>
      </c>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118"/>
      <c r="AM41" s="4"/>
      <c r="AN41" s="4"/>
      <c r="AO41" s="4"/>
      <c r="AP41" s="4"/>
      <c r="AQ41" s="135"/>
      <c r="AR41" s="4"/>
      <c r="AS41" s="4"/>
      <c r="AT41" s="4"/>
      <c r="AU41" s="4"/>
      <c r="AV41" s="4"/>
      <c r="AW41" s="4"/>
      <c r="AX41" s="4"/>
      <c r="AY41" s="4"/>
      <c r="AZ41" s="4"/>
      <c r="BA41" s="4"/>
      <c r="BB41" s="4"/>
      <c r="BC41" s="135"/>
      <c r="BD41" s="4"/>
      <c r="BE41" s="4"/>
      <c r="BF41" s="4"/>
      <c r="BG41" s="4"/>
      <c r="BH41" s="4"/>
      <c r="BI41" s="4"/>
      <c r="BJ41" s="4"/>
      <c r="BK41" s="4"/>
      <c r="BL41" s="4"/>
      <c r="BM41" s="4"/>
      <c r="BN41" s="4"/>
      <c r="BO41" s="135"/>
      <c r="BP41" s="135"/>
      <c r="BQ41" s="135"/>
      <c r="BR41" s="4"/>
      <c r="BS41" s="4"/>
      <c r="BT41" s="118"/>
      <c r="BU41" s="4"/>
      <c r="BV41" s="4"/>
      <c r="BW41" s="4"/>
      <c r="BX41" s="4"/>
      <c r="BY41" s="4"/>
      <c r="BZ41" s="4"/>
      <c r="CA41" s="118"/>
      <c r="CB41" s="4"/>
      <c r="CC41" s="4"/>
      <c r="CD41" s="4"/>
      <c r="CE41" s="135"/>
      <c r="CF41" s="135"/>
      <c r="CG41" s="135"/>
      <c r="CH41" s="135"/>
      <c r="CI41" s="135"/>
      <c r="CJ41" s="135"/>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118"/>
      <c r="DU41" s="4"/>
      <c r="DV41" s="4"/>
      <c r="DW41" s="4"/>
      <c r="DX41" s="4"/>
      <c r="DY41" s="4"/>
      <c r="DZ41" s="4"/>
      <c r="EA41" s="4"/>
      <c r="EB41" s="4"/>
      <c r="EC41" s="4"/>
    </row>
    <row r="42" spans="1:133" s="1" customFormat="1" ht="30" customHeight="1" thickBot="1" x14ac:dyDescent="0.35">
      <c r="A42" s="7"/>
      <c r="B42" s="17" t="s">
        <v>73</v>
      </c>
      <c r="C42" s="13" t="s">
        <v>246</v>
      </c>
      <c r="D42" s="32"/>
      <c r="E42" s="58">
        <v>46322</v>
      </c>
      <c r="F42" s="58">
        <v>46322</v>
      </c>
      <c r="G42" s="31">
        <v>1</v>
      </c>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118"/>
      <c r="AM42" s="4"/>
      <c r="AN42" s="4"/>
      <c r="AO42" s="4"/>
      <c r="AP42" s="4"/>
      <c r="AQ42" s="135"/>
      <c r="AR42" s="4"/>
      <c r="AS42" s="4"/>
      <c r="AT42" s="4"/>
      <c r="AU42" s="4"/>
      <c r="AV42" s="4"/>
      <c r="AW42" s="4"/>
      <c r="AX42" s="4"/>
      <c r="AY42" s="4"/>
      <c r="AZ42" s="4"/>
      <c r="BA42" s="4"/>
      <c r="BB42" s="4"/>
      <c r="BC42" s="135"/>
      <c r="BD42" s="4"/>
      <c r="BE42" s="4"/>
      <c r="BF42" s="4"/>
      <c r="BG42" s="4"/>
      <c r="BH42" s="4"/>
      <c r="BI42" s="4"/>
      <c r="BJ42" s="4"/>
      <c r="BK42" s="4"/>
      <c r="BL42" s="4"/>
      <c r="BM42" s="4"/>
      <c r="BN42" s="4"/>
      <c r="BO42" s="135"/>
      <c r="BP42" s="135"/>
      <c r="BQ42" s="135"/>
      <c r="BR42" s="4"/>
      <c r="BS42" s="4"/>
      <c r="BT42" s="118"/>
      <c r="BU42" s="4"/>
      <c r="BV42" s="4"/>
      <c r="BW42" s="4"/>
      <c r="BX42" s="4"/>
      <c r="BY42" s="4"/>
      <c r="BZ42" s="4"/>
      <c r="CA42" s="118"/>
      <c r="CB42" s="4"/>
      <c r="CC42" s="4"/>
      <c r="CD42" s="4"/>
      <c r="CE42" s="135"/>
      <c r="CF42" s="135"/>
      <c r="CG42" s="135"/>
      <c r="CH42" s="135"/>
      <c r="CI42" s="135"/>
      <c r="CJ42" s="135"/>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118"/>
      <c r="DU42" s="4"/>
      <c r="DV42" s="4"/>
      <c r="DW42" s="4"/>
      <c r="DX42" s="4"/>
      <c r="DY42" s="4"/>
      <c r="DZ42" s="4"/>
      <c r="EA42" s="4"/>
      <c r="EB42" s="4"/>
      <c r="EC42" s="4"/>
    </row>
    <row r="43" spans="1:133" s="1" customFormat="1" ht="30" customHeight="1" thickBot="1" x14ac:dyDescent="0.35">
      <c r="A43" s="7"/>
      <c r="B43" s="17" t="s">
        <v>76</v>
      </c>
      <c r="C43" s="13" t="s">
        <v>246</v>
      </c>
      <c r="D43" s="32"/>
      <c r="E43" s="58">
        <v>46322</v>
      </c>
      <c r="F43" s="58">
        <v>46322</v>
      </c>
      <c r="G43" s="31">
        <f t="shared" si="56"/>
        <v>1</v>
      </c>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118"/>
      <c r="AM43" s="4"/>
      <c r="AN43" s="4"/>
      <c r="AO43" s="4"/>
      <c r="AP43" s="4"/>
      <c r="AQ43" s="135"/>
      <c r="AR43" s="4"/>
      <c r="AS43" s="4"/>
      <c r="AT43" s="4"/>
      <c r="AU43" s="4"/>
      <c r="AV43" s="4"/>
      <c r="AW43" s="4"/>
      <c r="AX43" s="4"/>
      <c r="AY43" s="4"/>
      <c r="AZ43" s="4"/>
      <c r="BA43" s="4"/>
      <c r="BB43" s="4"/>
      <c r="BC43" s="135"/>
      <c r="BD43" s="4"/>
      <c r="BE43" s="4"/>
      <c r="BF43" s="4"/>
      <c r="BG43" s="4"/>
      <c r="BH43" s="4"/>
      <c r="BI43" s="4"/>
      <c r="BJ43" s="4"/>
      <c r="BK43" s="4"/>
      <c r="BL43" s="4"/>
      <c r="BM43" s="4"/>
      <c r="BN43" s="4"/>
      <c r="BO43" s="135"/>
      <c r="BP43" s="135"/>
      <c r="BQ43" s="135"/>
      <c r="BR43" s="4"/>
      <c r="BS43" s="4"/>
      <c r="BT43" s="118"/>
      <c r="BU43" s="4"/>
      <c r="BV43" s="4"/>
      <c r="BW43" s="4"/>
      <c r="BX43" s="4"/>
      <c r="BY43" s="4"/>
      <c r="BZ43" s="4"/>
      <c r="CA43" s="118"/>
      <c r="CB43" s="4"/>
      <c r="CC43" s="4"/>
      <c r="CD43" s="4"/>
      <c r="CE43" s="135"/>
      <c r="CF43" s="135"/>
      <c r="CG43" s="135"/>
      <c r="CH43" s="135"/>
      <c r="CI43" s="135"/>
      <c r="CJ43" s="135"/>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118"/>
      <c r="DU43" s="4"/>
      <c r="DV43" s="4"/>
      <c r="DW43" s="4"/>
      <c r="DX43" s="4"/>
      <c r="DY43" s="4"/>
      <c r="DZ43" s="4"/>
      <c r="EA43" s="4"/>
      <c r="EB43" s="4"/>
      <c r="EC43" s="4"/>
    </row>
    <row r="44" spans="1:133" s="1" customFormat="1" ht="30" customHeight="1" thickBot="1" x14ac:dyDescent="0.35">
      <c r="A44" s="7" t="s">
        <v>11</v>
      </c>
      <c r="B44" s="29" t="s">
        <v>67</v>
      </c>
      <c r="C44" s="12"/>
      <c r="D44" s="30"/>
      <c r="E44" s="56"/>
      <c r="F44" s="57"/>
      <c r="G44" s="31" t="str">
        <f t="shared" si="56"/>
        <v/>
      </c>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118"/>
      <c r="AM44" s="4"/>
      <c r="AN44" s="4"/>
      <c r="AO44" s="4"/>
      <c r="AP44" s="4"/>
      <c r="AQ44" s="135"/>
      <c r="AR44" s="4"/>
      <c r="AS44" s="4"/>
      <c r="AT44" s="4"/>
      <c r="AU44" s="4"/>
      <c r="AV44" s="4"/>
      <c r="AW44" s="4"/>
      <c r="AX44" s="4"/>
      <c r="AY44" s="4"/>
      <c r="AZ44" s="4"/>
      <c r="BA44" s="4"/>
      <c r="BB44" s="4"/>
      <c r="BC44" s="135"/>
      <c r="BD44" s="4"/>
      <c r="BE44" s="4"/>
      <c r="BF44" s="4"/>
      <c r="BG44" s="4"/>
      <c r="BH44" s="4"/>
      <c r="BI44" s="4"/>
      <c r="BJ44" s="4"/>
      <c r="BK44" s="4"/>
      <c r="BL44" s="4"/>
      <c r="BM44" s="4"/>
      <c r="BN44" s="4"/>
      <c r="BO44" s="135"/>
      <c r="BP44" s="135"/>
      <c r="BQ44" s="135"/>
      <c r="BR44" s="4"/>
      <c r="BS44" s="4"/>
      <c r="BT44" s="118"/>
      <c r="BU44" s="4"/>
      <c r="BV44" s="4"/>
      <c r="BW44" s="4"/>
      <c r="BX44" s="4"/>
      <c r="BY44" s="4"/>
      <c r="BZ44" s="4"/>
      <c r="CA44" s="118"/>
      <c r="CB44" s="4"/>
      <c r="CC44" s="4"/>
      <c r="CD44" s="4"/>
      <c r="CE44" s="135"/>
      <c r="CF44" s="135"/>
      <c r="CG44" s="135"/>
      <c r="CH44" s="135"/>
      <c r="CI44" s="135"/>
      <c r="CJ44" s="135"/>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118"/>
      <c r="DU44" s="4"/>
      <c r="DV44" s="4"/>
      <c r="DW44" s="4"/>
      <c r="DX44" s="4"/>
      <c r="DY44" s="4"/>
      <c r="DZ44" s="4"/>
      <c r="EA44" s="4"/>
      <c r="EB44" s="4"/>
      <c r="EC44" s="4"/>
    </row>
    <row r="45" spans="1:133" s="1" customFormat="1" ht="30" customHeight="1" thickBot="1" x14ac:dyDescent="0.35">
      <c r="A45" s="7"/>
      <c r="B45" s="17" t="s">
        <v>64</v>
      </c>
      <c r="C45" s="13" t="s">
        <v>246</v>
      </c>
      <c r="D45" s="32"/>
      <c r="E45" s="58">
        <v>46323</v>
      </c>
      <c r="F45" s="58">
        <v>46323</v>
      </c>
      <c r="G45" s="31">
        <f t="shared" si="56"/>
        <v>1</v>
      </c>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118"/>
      <c r="AM45" s="4"/>
      <c r="AN45" s="4"/>
      <c r="AO45" s="4"/>
      <c r="AP45" s="4"/>
      <c r="AQ45" s="135"/>
      <c r="AR45" s="4"/>
      <c r="AS45" s="4"/>
      <c r="AT45" s="4"/>
      <c r="AU45" s="4"/>
      <c r="AV45" s="4"/>
      <c r="AW45" s="4"/>
      <c r="AX45" s="4"/>
      <c r="AY45" s="4"/>
      <c r="AZ45" s="4"/>
      <c r="BA45" s="4"/>
      <c r="BB45" s="4"/>
      <c r="BC45" s="135"/>
      <c r="BD45" s="4"/>
      <c r="BE45" s="4"/>
      <c r="BF45" s="4"/>
      <c r="BG45" s="4"/>
      <c r="BH45" s="4"/>
      <c r="BI45" s="4"/>
      <c r="BJ45" s="4"/>
      <c r="BK45" s="4"/>
      <c r="BL45" s="4"/>
      <c r="BM45" s="4"/>
      <c r="BN45" s="4"/>
      <c r="BO45" s="135"/>
      <c r="BP45" s="135"/>
      <c r="BQ45" s="135"/>
      <c r="BR45" s="4"/>
      <c r="BS45" s="4"/>
      <c r="BT45" s="118"/>
      <c r="BU45" s="4"/>
      <c r="BV45" s="4"/>
      <c r="BW45" s="4"/>
      <c r="BX45" s="4"/>
      <c r="BY45" s="4"/>
      <c r="BZ45" s="4"/>
      <c r="CA45" s="118"/>
      <c r="CB45" s="4"/>
      <c r="CC45" s="4"/>
      <c r="CD45" s="4"/>
      <c r="CE45" s="135"/>
      <c r="CF45" s="135"/>
      <c r="CG45" s="135"/>
      <c r="CH45" s="135"/>
      <c r="CI45" s="135"/>
      <c r="CJ45" s="135"/>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118"/>
      <c r="DU45" s="4"/>
      <c r="DV45" s="4"/>
      <c r="DW45" s="4"/>
      <c r="DX45" s="4"/>
      <c r="DY45" s="4"/>
      <c r="DZ45" s="4"/>
      <c r="EA45" s="4"/>
      <c r="EB45" s="4"/>
      <c r="EC45" s="4"/>
    </row>
    <row r="46" spans="1:133" s="1" customFormat="1" ht="30" customHeight="1" thickBot="1" x14ac:dyDescent="0.35">
      <c r="A46" s="7"/>
      <c r="B46" s="17" t="s">
        <v>52</v>
      </c>
      <c r="C46" s="13" t="s">
        <v>246</v>
      </c>
      <c r="D46" s="32"/>
      <c r="E46" s="58">
        <v>46323</v>
      </c>
      <c r="F46" s="58">
        <v>46323</v>
      </c>
      <c r="G46" s="31">
        <f t="shared" si="56"/>
        <v>1</v>
      </c>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118"/>
      <c r="AM46" s="4"/>
      <c r="AN46" s="4"/>
      <c r="AO46" s="4"/>
      <c r="AP46" s="4"/>
      <c r="AQ46" s="135"/>
      <c r="AR46" s="4"/>
      <c r="AS46" s="4"/>
      <c r="AT46" s="4"/>
      <c r="AU46" s="4"/>
      <c r="AV46" s="4"/>
      <c r="AW46" s="4"/>
      <c r="AX46" s="4"/>
      <c r="AY46" s="4"/>
      <c r="AZ46" s="4"/>
      <c r="BA46" s="4"/>
      <c r="BB46" s="4"/>
      <c r="BC46" s="135"/>
      <c r="BD46" s="4"/>
      <c r="BE46" s="4"/>
      <c r="BF46" s="4"/>
      <c r="BG46" s="4"/>
      <c r="BH46" s="4"/>
      <c r="BI46" s="4"/>
      <c r="BJ46" s="4"/>
      <c r="BK46" s="4"/>
      <c r="BL46" s="4"/>
      <c r="BM46" s="4"/>
      <c r="BN46" s="4"/>
      <c r="BO46" s="135"/>
      <c r="BP46" s="135"/>
      <c r="BQ46" s="135"/>
      <c r="BR46" s="4"/>
      <c r="BS46" s="4"/>
      <c r="BT46" s="118"/>
      <c r="BU46" s="4"/>
      <c r="BV46" s="4"/>
      <c r="BW46" s="4"/>
      <c r="BX46" s="4"/>
      <c r="BY46" s="4"/>
      <c r="BZ46" s="4"/>
      <c r="CA46" s="118"/>
      <c r="CB46" s="4"/>
      <c r="CC46" s="4"/>
      <c r="CD46" s="4"/>
      <c r="CE46" s="135"/>
      <c r="CF46" s="135"/>
      <c r="CG46" s="135"/>
      <c r="CH46" s="135"/>
      <c r="CI46" s="135"/>
      <c r="CJ46" s="135"/>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118"/>
      <c r="DU46" s="4"/>
      <c r="DV46" s="4"/>
      <c r="DW46" s="4"/>
      <c r="DX46" s="4"/>
      <c r="DY46" s="4"/>
      <c r="DZ46" s="4"/>
      <c r="EA46" s="4"/>
      <c r="EB46" s="4"/>
      <c r="EC46" s="4"/>
    </row>
    <row r="47" spans="1:133" s="1" customFormat="1" ht="30" customHeight="1" thickBot="1" x14ac:dyDescent="0.35">
      <c r="A47" s="7"/>
      <c r="B47" s="17" t="s">
        <v>50</v>
      </c>
      <c r="C47" s="13" t="s">
        <v>246</v>
      </c>
      <c r="D47" s="32"/>
      <c r="E47" s="58">
        <v>46323</v>
      </c>
      <c r="F47" s="58">
        <v>46323</v>
      </c>
      <c r="G47" s="31">
        <f t="shared" si="56"/>
        <v>1</v>
      </c>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118"/>
      <c r="AM47" s="4"/>
      <c r="AN47" s="4"/>
      <c r="AO47" s="4"/>
      <c r="AP47" s="4"/>
      <c r="AQ47" s="135"/>
      <c r="AR47" s="4"/>
      <c r="AS47" s="4"/>
      <c r="AT47" s="4"/>
      <c r="AU47" s="4"/>
      <c r="AV47" s="4"/>
      <c r="AW47" s="4"/>
      <c r="AX47" s="4"/>
      <c r="AY47" s="4"/>
      <c r="AZ47" s="4"/>
      <c r="BA47" s="4"/>
      <c r="BB47" s="4"/>
      <c r="BC47" s="135"/>
      <c r="BD47" s="4"/>
      <c r="BE47" s="4"/>
      <c r="BF47" s="4"/>
      <c r="BG47" s="4"/>
      <c r="BH47" s="4"/>
      <c r="BI47" s="4"/>
      <c r="BJ47" s="4"/>
      <c r="BK47" s="4"/>
      <c r="BL47" s="4"/>
      <c r="BM47" s="4"/>
      <c r="BN47" s="4"/>
      <c r="BO47" s="135"/>
      <c r="BP47" s="135"/>
      <c r="BQ47" s="135"/>
      <c r="BR47" s="4"/>
      <c r="BS47" s="4"/>
      <c r="BT47" s="118"/>
      <c r="BU47" s="4"/>
      <c r="BV47" s="4"/>
      <c r="BW47" s="4"/>
      <c r="BX47" s="4"/>
      <c r="BY47" s="4"/>
      <c r="BZ47" s="4"/>
      <c r="CA47" s="118"/>
      <c r="CB47" s="4"/>
      <c r="CC47" s="4"/>
      <c r="CD47" s="4"/>
      <c r="CE47" s="135"/>
      <c r="CF47" s="135"/>
      <c r="CG47" s="135"/>
      <c r="CH47" s="135"/>
      <c r="CI47" s="135"/>
      <c r="CJ47" s="135"/>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118"/>
      <c r="DU47" s="4"/>
      <c r="DV47" s="4"/>
      <c r="DW47" s="4"/>
      <c r="DX47" s="4"/>
      <c r="DY47" s="4"/>
      <c r="DZ47" s="4"/>
      <c r="EA47" s="4"/>
      <c r="EB47" s="4"/>
      <c r="EC47" s="4"/>
    </row>
    <row r="48" spans="1:133" s="1" customFormat="1" ht="30" customHeight="1" thickBot="1" x14ac:dyDescent="0.35">
      <c r="A48" s="7"/>
      <c r="B48" s="17" t="s">
        <v>65</v>
      </c>
      <c r="C48" s="13" t="s">
        <v>246</v>
      </c>
      <c r="D48" s="32"/>
      <c r="E48" s="58">
        <v>46324</v>
      </c>
      <c r="F48" s="58">
        <v>46324</v>
      </c>
      <c r="G48" s="31">
        <f t="shared" si="56"/>
        <v>1</v>
      </c>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118"/>
      <c r="AM48" s="4"/>
      <c r="AN48" s="4"/>
      <c r="AO48" s="4"/>
      <c r="AP48" s="4"/>
      <c r="AQ48" s="135"/>
      <c r="AR48" s="4"/>
      <c r="AS48" s="4"/>
      <c r="AT48" s="4"/>
      <c r="AU48" s="4"/>
      <c r="AV48" s="4"/>
      <c r="AW48" s="4"/>
      <c r="AX48" s="4"/>
      <c r="AY48" s="4"/>
      <c r="AZ48" s="4"/>
      <c r="BA48" s="4"/>
      <c r="BB48" s="4"/>
      <c r="BC48" s="135"/>
      <c r="BD48" s="4"/>
      <c r="BE48" s="4"/>
      <c r="BF48" s="4"/>
      <c r="BG48" s="4"/>
      <c r="BH48" s="4"/>
      <c r="BI48" s="4"/>
      <c r="BJ48" s="4"/>
      <c r="BK48" s="4"/>
      <c r="BL48" s="4"/>
      <c r="BM48" s="4"/>
      <c r="BN48" s="4"/>
      <c r="BO48" s="135"/>
      <c r="BP48" s="135"/>
      <c r="BQ48" s="135"/>
      <c r="BR48" s="4"/>
      <c r="BS48" s="4"/>
      <c r="BT48" s="118"/>
      <c r="BU48" s="4"/>
      <c r="BV48" s="4"/>
      <c r="BW48" s="4"/>
      <c r="BX48" s="4"/>
      <c r="BY48" s="4"/>
      <c r="BZ48" s="4"/>
      <c r="CA48" s="118"/>
      <c r="CB48" s="4"/>
      <c r="CC48" s="4"/>
      <c r="CD48" s="4"/>
      <c r="CE48" s="135"/>
      <c r="CF48" s="135"/>
      <c r="CG48" s="135"/>
      <c r="CH48" s="135"/>
      <c r="CI48" s="135"/>
      <c r="CJ48" s="135"/>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118"/>
      <c r="DU48" s="4"/>
      <c r="DV48" s="4"/>
      <c r="DW48" s="4"/>
      <c r="DX48" s="4"/>
      <c r="DY48" s="4"/>
      <c r="DZ48" s="4"/>
      <c r="EA48" s="4"/>
      <c r="EB48" s="4"/>
      <c r="EC48" s="4"/>
    </row>
    <row r="49" spans="1:133" s="1" customFormat="1" ht="30" customHeight="1" thickBot="1" x14ac:dyDescent="0.35">
      <c r="A49" s="7"/>
      <c r="B49" s="17" t="s">
        <v>74</v>
      </c>
      <c r="C49" s="13" t="s">
        <v>246</v>
      </c>
      <c r="D49" s="32"/>
      <c r="E49" s="58">
        <v>46324</v>
      </c>
      <c r="F49" s="58">
        <v>46324</v>
      </c>
      <c r="G49" s="31">
        <f t="shared" si="56"/>
        <v>1</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118"/>
      <c r="AM49" s="4"/>
      <c r="AN49" s="4"/>
      <c r="AO49" s="4"/>
      <c r="AP49" s="4"/>
      <c r="AQ49" s="135"/>
      <c r="AR49" s="4"/>
      <c r="AS49" s="4"/>
      <c r="AT49" s="4"/>
      <c r="AU49" s="4"/>
      <c r="AV49" s="4"/>
      <c r="AW49" s="4"/>
      <c r="AX49" s="4"/>
      <c r="AY49" s="4"/>
      <c r="AZ49" s="4"/>
      <c r="BA49" s="4"/>
      <c r="BB49" s="4"/>
      <c r="BC49" s="135"/>
      <c r="BD49" s="4"/>
      <c r="BE49" s="4"/>
      <c r="BF49" s="4"/>
      <c r="BG49" s="4"/>
      <c r="BH49" s="4"/>
      <c r="BI49" s="4"/>
      <c r="BJ49" s="4"/>
      <c r="BK49" s="4"/>
      <c r="BL49" s="4"/>
      <c r="BM49" s="4"/>
      <c r="BN49" s="4"/>
      <c r="BO49" s="135"/>
      <c r="BP49" s="135"/>
      <c r="BQ49" s="135"/>
      <c r="BR49" s="4"/>
      <c r="BS49" s="4"/>
      <c r="BT49" s="118"/>
      <c r="BU49" s="4"/>
      <c r="BV49" s="4"/>
      <c r="BW49" s="4"/>
      <c r="BX49" s="4"/>
      <c r="BY49" s="4"/>
      <c r="BZ49" s="4"/>
      <c r="CA49" s="118"/>
      <c r="CB49" s="4"/>
      <c r="CC49" s="4"/>
      <c r="CD49" s="4"/>
      <c r="CE49" s="135"/>
      <c r="CF49" s="135"/>
      <c r="CG49" s="135"/>
      <c r="CH49" s="135"/>
      <c r="CI49" s="135"/>
      <c r="CJ49" s="135"/>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118"/>
      <c r="DU49" s="4"/>
      <c r="DV49" s="4"/>
      <c r="DW49" s="4"/>
      <c r="DX49" s="4"/>
      <c r="DY49" s="4"/>
      <c r="DZ49" s="4"/>
      <c r="EA49" s="4"/>
      <c r="EB49" s="4"/>
      <c r="EC49" s="4"/>
    </row>
    <row r="50" spans="1:133" s="1" customFormat="1" ht="30" customHeight="1" thickBot="1" x14ac:dyDescent="0.35">
      <c r="A50" s="7"/>
      <c r="B50" s="17" t="s">
        <v>75</v>
      </c>
      <c r="C50" s="13" t="s">
        <v>246</v>
      </c>
      <c r="D50" s="32"/>
      <c r="E50" s="58">
        <v>46324</v>
      </c>
      <c r="F50" s="58">
        <v>46324</v>
      </c>
      <c r="G50" s="31">
        <f t="shared" si="56"/>
        <v>1</v>
      </c>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118"/>
      <c r="AM50" s="4"/>
      <c r="AN50" s="4"/>
      <c r="AO50" s="4"/>
      <c r="AP50" s="4"/>
      <c r="AQ50" s="135"/>
      <c r="AR50" s="4"/>
      <c r="AS50" s="4"/>
      <c r="AT50" s="4"/>
      <c r="AU50" s="4"/>
      <c r="AV50" s="4"/>
      <c r="AW50" s="4"/>
      <c r="AX50" s="4"/>
      <c r="AY50" s="4"/>
      <c r="AZ50" s="4"/>
      <c r="BA50" s="4"/>
      <c r="BB50" s="4"/>
      <c r="BC50" s="135"/>
      <c r="BD50" s="4"/>
      <c r="BE50" s="4"/>
      <c r="BF50" s="4"/>
      <c r="BG50" s="4"/>
      <c r="BH50" s="4"/>
      <c r="BI50" s="4"/>
      <c r="BJ50" s="4"/>
      <c r="BK50" s="4"/>
      <c r="BL50" s="4"/>
      <c r="BM50" s="4"/>
      <c r="BN50" s="4"/>
      <c r="BO50" s="135"/>
      <c r="BP50" s="135"/>
      <c r="BQ50" s="135"/>
      <c r="BR50" s="4"/>
      <c r="BS50" s="4"/>
      <c r="BT50" s="118"/>
      <c r="BU50" s="4"/>
      <c r="BV50" s="4"/>
      <c r="BW50" s="4"/>
      <c r="BX50" s="4"/>
      <c r="BY50" s="4"/>
      <c r="BZ50" s="4"/>
      <c r="CA50" s="118"/>
      <c r="CB50" s="4"/>
      <c r="CC50" s="4"/>
      <c r="CD50" s="4"/>
      <c r="CE50" s="135"/>
      <c r="CF50" s="135"/>
      <c r="CG50" s="135"/>
      <c r="CH50" s="135"/>
      <c r="CI50" s="135"/>
      <c r="CJ50" s="135"/>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118"/>
      <c r="DU50" s="4"/>
      <c r="DV50" s="4"/>
      <c r="DW50" s="4"/>
      <c r="DX50" s="4"/>
      <c r="DY50" s="4"/>
      <c r="DZ50" s="4"/>
      <c r="EA50" s="4"/>
      <c r="EB50" s="4"/>
      <c r="EC50" s="4"/>
    </row>
    <row r="51" spans="1:133" s="1" customFormat="1" ht="30" customHeight="1" thickBot="1" x14ac:dyDescent="0.35">
      <c r="A51" s="7"/>
      <c r="B51" s="17" t="s">
        <v>77</v>
      </c>
      <c r="C51" s="13" t="s">
        <v>246</v>
      </c>
      <c r="D51" s="32"/>
      <c r="E51" s="58">
        <v>46325</v>
      </c>
      <c r="F51" s="58">
        <v>46325</v>
      </c>
      <c r="G51" s="31">
        <f t="shared" si="56"/>
        <v>1</v>
      </c>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118"/>
      <c r="AM51" s="4"/>
      <c r="AN51" s="4"/>
      <c r="AO51" s="4"/>
      <c r="AP51" s="4"/>
      <c r="AQ51" s="135"/>
      <c r="AR51" s="4"/>
      <c r="AS51" s="4"/>
      <c r="AT51" s="4"/>
      <c r="AU51" s="4"/>
      <c r="AV51" s="4"/>
      <c r="AW51" s="4"/>
      <c r="AX51" s="4"/>
      <c r="AY51" s="4"/>
      <c r="AZ51" s="4"/>
      <c r="BA51" s="4"/>
      <c r="BB51" s="4"/>
      <c r="BC51" s="135"/>
      <c r="BD51" s="4"/>
      <c r="BE51" s="4"/>
      <c r="BF51" s="4"/>
      <c r="BG51" s="4"/>
      <c r="BH51" s="4"/>
      <c r="BI51" s="4"/>
      <c r="BJ51" s="4"/>
      <c r="BK51" s="4"/>
      <c r="BL51" s="4"/>
      <c r="BM51" s="4"/>
      <c r="BN51" s="4"/>
      <c r="BO51" s="135"/>
      <c r="BP51" s="135"/>
      <c r="BQ51" s="135"/>
      <c r="BR51" s="4"/>
      <c r="BS51" s="4"/>
      <c r="BT51" s="118"/>
      <c r="BU51" s="4"/>
      <c r="BV51" s="4"/>
      <c r="BW51" s="4"/>
      <c r="BX51" s="4"/>
      <c r="BY51" s="4"/>
      <c r="BZ51" s="4"/>
      <c r="CA51" s="118"/>
      <c r="CB51" s="4"/>
      <c r="CC51" s="4"/>
      <c r="CD51" s="4"/>
      <c r="CE51" s="135"/>
      <c r="CF51" s="135"/>
      <c r="CG51" s="135"/>
      <c r="CH51" s="135"/>
      <c r="CI51" s="135"/>
      <c r="CJ51" s="135"/>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118"/>
      <c r="DU51" s="4"/>
      <c r="DV51" s="4"/>
      <c r="DW51" s="4"/>
      <c r="DX51" s="4"/>
      <c r="DY51" s="4"/>
      <c r="DZ51" s="4"/>
      <c r="EA51" s="4"/>
      <c r="EB51" s="4"/>
      <c r="EC51" s="4"/>
    </row>
    <row r="52" spans="1:133" s="1" customFormat="1" ht="30" customHeight="1" thickBot="1" x14ac:dyDescent="0.35">
      <c r="A52" s="7"/>
      <c r="B52" s="17" t="s">
        <v>78</v>
      </c>
      <c r="C52" s="13" t="s">
        <v>246</v>
      </c>
      <c r="D52" s="32"/>
      <c r="E52" s="58">
        <v>46325</v>
      </c>
      <c r="F52" s="58">
        <v>46325</v>
      </c>
      <c r="G52" s="31">
        <v>1</v>
      </c>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118"/>
      <c r="AM52" s="4"/>
      <c r="AN52" s="4"/>
      <c r="AO52" s="4"/>
      <c r="AP52" s="4"/>
      <c r="AQ52" s="135"/>
      <c r="AR52" s="4"/>
      <c r="AS52" s="4"/>
      <c r="AT52" s="4"/>
      <c r="AU52" s="4"/>
      <c r="AV52" s="4"/>
      <c r="AW52" s="4"/>
      <c r="AX52" s="4"/>
      <c r="AY52" s="4"/>
      <c r="AZ52" s="4"/>
      <c r="BA52" s="4"/>
      <c r="BB52" s="4"/>
      <c r="BC52" s="135"/>
      <c r="BD52" s="4"/>
      <c r="BE52" s="4"/>
      <c r="BF52" s="4"/>
      <c r="BG52" s="4"/>
      <c r="BH52" s="4"/>
      <c r="BI52" s="4"/>
      <c r="BJ52" s="4"/>
      <c r="BK52" s="4"/>
      <c r="BL52" s="4"/>
      <c r="BM52" s="4"/>
      <c r="BN52" s="4"/>
      <c r="BO52" s="135"/>
      <c r="BP52" s="135"/>
      <c r="BQ52" s="135"/>
      <c r="BR52" s="4"/>
      <c r="BS52" s="4"/>
      <c r="BT52" s="118"/>
      <c r="BU52" s="4"/>
      <c r="BV52" s="4"/>
      <c r="BW52" s="4"/>
      <c r="BX52" s="4"/>
      <c r="BY52" s="4"/>
      <c r="BZ52" s="4"/>
      <c r="CA52" s="118"/>
      <c r="CB52" s="4"/>
      <c r="CC52" s="4"/>
      <c r="CD52" s="4"/>
      <c r="CE52" s="135"/>
      <c r="CF52" s="135"/>
      <c r="CG52" s="135"/>
      <c r="CH52" s="135"/>
      <c r="CI52" s="135"/>
      <c r="CJ52" s="135"/>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118"/>
      <c r="DU52" s="4"/>
      <c r="DV52" s="4"/>
      <c r="DW52" s="4"/>
      <c r="DX52" s="4"/>
      <c r="DY52" s="4"/>
      <c r="DZ52" s="4"/>
      <c r="EA52" s="4"/>
      <c r="EB52" s="4"/>
      <c r="EC52" s="4"/>
    </row>
    <row r="53" spans="1:133" s="1" customFormat="1" ht="30" customHeight="1" thickBot="1" x14ac:dyDescent="0.35">
      <c r="A53" s="7"/>
      <c r="B53" s="17" t="s">
        <v>76</v>
      </c>
      <c r="C53" s="13" t="s">
        <v>246</v>
      </c>
      <c r="D53" s="32"/>
      <c r="E53" s="58">
        <v>46325</v>
      </c>
      <c r="F53" s="58">
        <v>46325</v>
      </c>
      <c r="G53" s="31">
        <f t="shared" si="56"/>
        <v>1</v>
      </c>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118"/>
      <c r="AM53" s="4"/>
      <c r="AN53" s="4"/>
      <c r="AO53" s="4"/>
      <c r="AP53" s="4"/>
      <c r="AQ53" s="135"/>
      <c r="AR53" s="4"/>
      <c r="AS53" s="4"/>
      <c r="AT53" s="4"/>
      <c r="AU53" s="4"/>
      <c r="AV53" s="4"/>
      <c r="AW53" s="4"/>
      <c r="AX53" s="4"/>
      <c r="AY53" s="4"/>
      <c r="AZ53" s="4"/>
      <c r="BA53" s="4"/>
      <c r="BB53" s="4"/>
      <c r="BC53" s="135"/>
      <c r="BD53" s="4"/>
      <c r="BE53" s="4"/>
      <c r="BF53" s="4"/>
      <c r="BG53" s="4"/>
      <c r="BH53" s="4"/>
      <c r="BI53" s="4"/>
      <c r="BJ53" s="4"/>
      <c r="BK53" s="4"/>
      <c r="BL53" s="4"/>
      <c r="BM53" s="4"/>
      <c r="BN53" s="4"/>
      <c r="BO53" s="135"/>
      <c r="BP53" s="135"/>
      <c r="BQ53" s="135"/>
      <c r="BR53" s="4"/>
      <c r="BS53" s="4"/>
      <c r="BT53" s="118"/>
      <c r="BU53" s="4"/>
      <c r="BV53" s="4"/>
      <c r="BW53" s="4"/>
      <c r="BX53" s="4"/>
      <c r="BY53" s="4"/>
      <c r="BZ53" s="4"/>
      <c r="CA53" s="118"/>
      <c r="CB53" s="4"/>
      <c r="CC53" s="4"/>
      <c r="CD53" s="4"/>
      <c r="CE53" s="135"/>
      <c r="CF53" s="135"/>
      <c r="CG53" s="135"/>
      <c r="CH53" s="135"/>
      <c r="CI53" s="135"/>
      <c r="CJ53" s="135"/>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118"/>
      <c r="DU53" s="4"/>
      <c r="DV53" s="4"/>
      <c r="DW53" s="4"/>
      <c r="DX53" s="4"/>
      <c r="DY53" s="4"/>
      <c r="DZ53" s="4"/>
      <c r="EA53" s="4"/>
      <c r="EB53" s="4"/>
      <c r="EC53" s="4"/>
    </row>
    <row r="54" spans="1:133" s="1" customFormat="1" ht="30" customHeight="1" thickBot="1" x14ac:dyDescent="0.35">
      <c r="A54" s="7" t="s">
        <v>11</v>
      </c>
      <c r="B54" s="29" t="s">
        <v>68</v>
      </c>
      <c r="C54" s="12"/>
      <c r="D54" s="30"/>
      <c r="E54" s="56"/>
      <c r="F54" s="57"/>
      <c r="G54" s="31" t="str">
        <f t="shared" si="56"/>
        <v/>
      </c>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118"/>
      <c r="AM54" s="4"/>
      <c r="AN54" s="4"/>
      <c r="AO54" s="4"/>
      <c r="AP54" s="4"/>
      <c r="AQ54" s="135"/>
      <c r="AR54" s="4"/>
      <c r="AS54" s="4"/>
      <c r="AT54" s="4"/>
      <c r="AU54" s="4"/>
      <c r="AV54" s="4"/>
      <c r="AW54" s="4"/>
      <c r="AX54" s="4"/>
      <c r="AY54" s="4"/>
      <c r="AZ54" s="4"/>
      <c r="BA54" s="4"/>
      <c r="BB54" s="4"/>
      <c r="BC54" s="135"/>
      <c r="BD54" s="4"/>
      <c r="BE54" s="4"/>
      <c r="BF54" s="4"/>
      <c r="BG54" s="4"/>
      <c r="BH54" s="4"/>
      <c r="BI54" s="4"/>
      <c r="BJ54" s="4"/>
      <c r="BK54" s="4"/>
      <c r="BL54" s="4"/>
      <c r="BM54" s="4"/>
      <c r="BN54" s="4"/>
      <c r="BO54" s="135"/>
      <c r="BP54" s="135"/>
      <c r="BQ54" s="135"/>
      <c r="BR54" s="4"/>
      <c r="BS54" s="4"/>
      <c r="BT54" s="118"/>
      <c r="BU54" s="4"/>
      <c r="BV54" s="4"/>
      <c r="BW54" s="4"/>
      <c r="BX54" s="4"/>
      <c r="BY54" s="4"/>
      <c r="BZ54" s="4"/>
      <c r="CA54" s="118"/>
      <c r="CB54" s="4"/>
      <c r="CC54" s="4"/>
      <c r="CD54" s="4"/>
      <c r="CE54" s="135"/>
      <c r="CF54" s="135"/>
      <c r="CG54" s="135"/>
      <c r="CH54" s="135"/>
      <c r="CI54" s="135"/>
      <c r="CJ54" s="135"/>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118"/>
      <c r="DU54" s="4"/>
      <c r="DV54" s="4"/>
      <c r="DW54" s="4"/>
      <c r="DX54" s="4"/>
      <c r="DY54" s="4"/>
      <c r="DZ54" s="4"/>
      <c r="EA54" s="4"/>
      <c r="EB54" s="4"/>
      <c r="EC54" s="4"/>
    </row>
    <row r="55" spans="1:133" s="1" customFormat="1" ht="30" customHeight="1" thickBot="1" x14ac:dyDescent="0.35">
      <c r="A55" s="7"/>
      <c r="B55" s="17" t="s">
        <v>80</v>
      </c>
      <c r="C55" s="13" t="s">
        <v>246</v>
      </c>
      <c r="D55" s="32"/>
      <c r="E55" s="58">
        <v>46314</v>
      </c>
      <c r="F55" s="58">
        <v>46314</v>
      </c>
      <c r="G55" s="31">
        <f t="shared" si="56"/>
        <v>1</v>
      </c>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118"/>
      <c r="AM55" s="4"/>
      <c r="AN55" s="4"/>
      <c r="AO55" s="4"/>
      <c r="AP55" s="4"/>
      <c r="AQ55" s="135"/>
      <c r="AR55" s="4"/>
      <c r="AS55" s="4"/>
      <c r="AT55" s="4"/>
      <c r="AU55" s="4"/>
      <c r="AV55" s="4"/>
      <c r="AW55" s="4"/>
      <c r="AX55" s="4"/>
      <c r="AY55" s="4"/>
      <c r="AZ55" s="4"/>
      <c r="BA55" s="4"/>
      <c r="BB55" s="4"/>
      <c r="BC55" s="135"/>
      <c r="BD55" s="4"/>
      <c r="BE55" s="4"/>
      <c r="BF55" s="4"/>
      <c r="BG55" s="4"/>
      <c r="BH55" s="4"/>
      <c r="BI55" s="4"/>
      <c r="BJ55" s="4"/>
      <c r="BK55" s="4"/>
      <c r="BL55" s="4"/>
      <c r="BM55" s="4"/>
      <c r="BN55" s="4"/>
      <c r="BO55" s="135"/>
      <c r="BP55" s="135"/>
      <c r="BQ55" s="135"/>
      <c r="BR55" s="4"/>
      <c r="BS55" s="4"/>
      <c r="BT55" s="118"/>
      <c r="BU55" s="4"/>
      <c r="BV55" s="4"/>
      <c r="BW55" s="4"/>
      <c r="BX55" s="4"/>
      <c r="BY55" s="4"/>
      <c r="BZ55" s="4"/>
      <c r="CA55" s="118"/>
      <c r="CB55" s="4"/>
      <c r="CC55" s="4"/>
      <c r="CD55" s="4"/>
      <c r="CE55" s="135"/>
      <c r="CF55" s="135"/>
      <c r="CG55" s="135"/>
      <c r="CH55" s="135"/>
      <c r="CI55" s="135"/>
      <c r="CJ55" s="135"/>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118"/>
      <c r="DU55" s="4"/>
      <c r="DV55" s="4"/>
      <c r="DW55" s="4"/>
      <c r="DX55" s="4"/>
      <c r="DY55" s="4"/>
      <c r="DZ55" s="4"/>
      <c r="EA55" s="4"/>
      <c r="EB55" s="4"/>
      <c r="EC55" s="4"/>
    </row>
    <row r="56" spans="1:133" s="1" customFormat="1" ht="30" customHeight="1" thickBot="1" x14ac:dyDescent="0.35">
      <c r="A56" s="7"/>
      <c r="B56" s="17" t="s">
        <v>81</v>
      </c>
      <c r="C56" s="13" t="s">
        <v>246</v>
      </c>
      <c r="D56" s="32"/>
      <c r="E56" s="58">
        <v>46315</v>
      </c>
      <c r="F56" s="58">
        <v>46315</v>
      </c>
      <c r="G56" s="31">
        <f t="shared" si="56"/>
        <v>1</v>
      </c>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118"/>
      <c r="AM56" s="4"/>
      <c r="AN56" s="4"/>
      <c r="AO56" s="4"/>
      <c r="AP56" s="4"/>
      <c r="AQ56" s="135"/>
      <c r="AR56" s="4"/>
      <c r="AS56" s="4"/>
      <c r="AT56" s="4"/>
      <c r="AU56" s="4"/>
      <c r="AV56" s="4"/>
      <c r="AW56" s="4"/>
      <c r="AX56" s="4"/>
      <c r="AY56" s="4"/>
      <c r="AZ56" s="4"/>
      <c r="BA56" s="4"/>
      <c r="BB56" s="4"/>
      <c r="BC56" s="135"/>
      <c r="BD56" s="4"/>
      <c r="BE56" s="4"/>
      <c r="BF56" s="4"/>
      <c r="BG56" s="4"/>
      <c r="BH56" s="4"/>
      <c r="BI56" s="4"/>
      <c r="BJ56" s="4"/>
      <c r="BK56" s="4"/>
      <c r="BL56" s="4"/>
      <c r="BM56" s="4"/>
      <c r="BN56" s="4"/>
      <c r="BO56" s="135"/>
      <c r="BP56" s="135"/>
      <c r="BQ56" s="135"/>
      <c r="BR56" s="4"/>
      <c r="BS56" s="4"/>
      <c r="BT56" s="118"/>
      <c r="BU56" s="4"/>
      <c r="BV56" s="4"/>
      <c r="BW56" s="4"/>
      <c r="BX56" s="4"/>
      <c r="BY56" s="4"/>
      <c r="BZ56" s="4"/>
      <c r="CA56" s="118"/>
      <c r="CB56" s="4"/>
      <c r="CC56" s="4"/>
      <c r="CD56" s="4"/>
      <c r="CE56" s="135"/>
      <c r="CF56" s="135"/>
      <c r="CG56" s="135"/>
      <c r="CH56" s="135"/>
      <c r="CI56" s="135"/>
      <c r="CJ56" s="135"/>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118"/>
      <c r="DU56" s="4"/>
      <c r="DV56" s="4"/>
      <c r="DW56" s="4"/>
      <c r="DX56" s="4"/>
      <c r="DY56" s="4"/>
      <c r="DZ56" s="4"/>
      <c r="EA56" s="4"/>
      <c r="EB56" s="4"/>
      <c r="EC56" s="4"/>
    </row>
    <row r="57" spans="1:133" s="1" customFormat="1" ht="30" customHeight="1" thickBot="1" x14ac:dyDescent="0.35">
      <c r="A57" s="7"/>
      <c r="B57" s="17" t="s">
        <v>82</v>
      </c>
      <c r="C57" s="13" t="s">
        <v>246</v>
      </c>
      <c r="D57" s="32"/>
      <c r="E57" s="58">
        <v>46316</v>
      </c>
      <c r="F57" s="58">
        <v>46316</v>
      </c>
      <c r="G57" s="31">
        <f t="shared" si="56"/>
        <v>1</v>
      </c>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118"/>
      <c r="AM57" s="4"/>
      <c r="AN57" s="4"/>
      <c r="AO57" s="4"/>
      <c r="AP57" s="4"/>
      <c r="AQ57" s="135"/>
      <c r="AR57" s="4"/>
      <c r="AS57" s="4"/>
      <c r="AT57" s="4"/>
      <c r="AU57" s="4"/>
      <c r="AV57" s="4"/>
      <c r="AW57" s="4"/>
      <c r="AX57" s="4"/>
      <c r="AY57" s="4"/>
      <c r="AZ57" s="4"/>
      <c r="BA57" s="4"/>
      <c r="BB57" s="4"/>
      <c r="BC57" s="135"/>
      <c r="BD57" s="4"/>
      <c r="BE57" s="4"/>
      <c r="BF57" s="4"/>
      <c r="BG57" s="4"/>
      <c r="BH57" s="4"/>
      <c r="BI57" s="4"/>
      <c r="BJ57" s="4"/>
      <c r="BK57" s="4"/>
      <c r="BL57" s="4"/>
      <c r="BM57" s="4"/>
      <c r="BN57" s="4"/>
      <c r="BO57" s="135"/>
      <c r="BP57" s="135"/>
      <c r="BQ57" s="135"/>
      <c r="BR57" s="4"/>
      <c r="BS57" s="4"/>
      <c r="BT57" s="118"/>
      <c r="BU57" s="4"/>
      <c r="BV57" s="4"/>
      <c r="BW57" s="4"/>
      <c r="BX57" s="4"/>
      <c r="BY57" s="4"/>
      <c r="BZ57" s="4"/>
      <c r="CA57" s="118"/>
      <c r="CB57" s="4"/>
      <c r="CC57" s="4"/>
      <c r="CD57" s="4"/>
      <c r="CE57" s="135"/>
      <c r="CF57" s="135"/>
      <c r="CG57" s="135"/>
      <c r="CH57" s="135"/>
      <c r="CI57" s="135"/>
      <c r="CJ57" s="135"/>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118"/>
      <c r="DU57" s="4"/>
      <c r="DV57" s="4"/>
      <c r="DW57" s="4"/>
      <c r="DX57" s="4"/>
      <c r="DY57" s="4"/>
      <c r="DZ57" s="4"/>
      <c r="EA57" s="4"/>
      <c r="EB57" s="4"/>
      <c r="EC57" s="4"/>
    </row>
    <row r="58" spans="1:133" s="1" customFormat="1" ht="30" customHeight="1" thickBot="1" x14ac:dyDescent="0.35">
      <c r="A58" s="7"/>
      <c r="B58" s="17" t="s">
        <v>79</v>
      </c>
      <c r="C58" s="13" t="s">
        <v>246</v>
      </c>
      <c r="D58" s="32"/>
      <c r="E58" s="58">
        <v>46317</v>
      </c>
      <c r="F58" s="58">
        <v>46317</v>
      </c>
      <c r="G58" s="31">
        <f t="shared" si="56"/>
        <v>1</v>
      </c>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118"/>
      <c r="AM58" s="4"/>
      <c r="AN58" s="4"/>
      <c r="AO58" s="4"/>
      <c r="AP58" s="4"/>
      <c r="AQ58" s="135"/>
      <c r="AR58" s="4"/>
      <c r="AS58" s="4"/>
      <c r="AT58" s="4"/>
      <c r="AU58" s="4"/>
      <c r="AV58" s="4"/>
      <c r="AW58" s="4"/>
      <c r="AX58" s="4"/>
      <c r="AY58" s="4"/>
      <c r="AZ58" s="4"/>
      <c r="BA58" s="4"/>
      <c r="BB58" s="4"/>
      <c r="BC58" s="135"/>
      <c r="BD58" s="4"/>
      <c r="BE58" s="4"/>
      <c r="BF58" s="4"/>
      <c r="BG58" s="4"/>
      <c r="BH58" s="4"/>
      <c r="BI58" s="4"/>
      <c r="BJ58" s="4"/>
      <c r="BK58" s="4"/>
      <c r="BL58" s="4"/>
      <c r="BM58" s="4"/>
      <c r="BN58" s="4"/>
      <c r="BO58" s="135"/>
      <c r="BP58" s="135"/>
      <c r="BQ58" s="135"/>
      <c r="BR58" s="4"/>
      <c r="BS58" s="4"/>
      <c r="BT58" s="118"/>
      <c r="BU58" s="4"/>
      <c r="BV58" s="4"/>
      <c r="BW58" s="4"/>
      <c r="BX58" s="4"/>
      <c r="BY58" s="4"/>
      <c r="BZ58" s="4"/>
      <c r="CA58" s="118"/>
      <c r="CB58" s="4"/>
      <c r="CC58" s="4"/>
      <c r="CD58" s="4"/>
      <c r="CE58" s="135"/>
      <c r="CF58" s="135"/>
      <c r="CG58" s="135"/>
      <c r="CH58" s="135"/>
      <c r="CI58" s="135"/>
      <c r="CJ58" s="135"/>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118"/>
      <c r="DU58" s="4"/>
      <c r="DV58" s="4"/>
      <c r="DW58" s="4"/>
      <c r="DX58" s="4"/>
      <c r="DY58" s="4"/>
      <c r="DZ58" s="4"/>
      <c r="EA58" s="4"/>
      <c r="EB58" s="4"/>
      <c r="EC58" s="4"/>
    </row>
    <row r="59" spans="1:133" s="1" customFormat="1" ht="30" customHeight="1" thickBot="1" x14ac:dyDescent="0.35">
      <c r="A59" s="7"/>
      <c r="B59" s="17" t="s">
        <v>69</v>
      </c>
      <c r="C59" s="13" t="s">
        <v>246</v>
      </c>
      <c r="D59" s="32"/>
      <c r="E59" s="58">
        <v>46318</v>
      </c>
      <c r="F59" s="58">
        <v>46318</v>
      </c>
      <c r="G59" s="31">
        <f t="shared" si="56"/>
        <v>1</v>
      </c>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118"/>
      <c r="AM59" s="4"/>
      <c r="AN59" s="4"/>
      <c r="AO59" s="4"/>
      <c r="AP59" s="4"/>
      <c r="AQ59" s="135"/>
      <c r="AR59" s="4"/>
      <c r="AS59" s="4"/>
      <c r="AT59" s="4"/>
      <c r="AU59" s="4"/>
      <c r="AV59" s="4"/>
      <c r="AW59" s="4"/>
      <c r="AX59" s="4"/>
      <c r="AY59" s="4"/>
      <c r="AZ59" s="4"/>
      <c r="BA59" s="4"/>
      <c r="BB59" s="4"/>
      <c r="BC59" s="135"/>
      <c r="BD59" s="4"/>
      <c r="BE59" s="4"/>
      <c r="BF59" s="4"/>
      <c r="BG59" s="4"/>
      <c r="BH59" s="4"/>
      <c r="BI59" s="4"/>
      <c r="BJ59" s="4"/>
      <c r="BK59" s="4"/>
      <c r="BL59" s="4"/>
      <c r="BM59" s="4"/>
      <c r="BN59" s="4"/>
      <c r="BO59" s="135"/>
      <c r="BP59" s="135"/>
      <c r="BQ59" s="135"/>
      <c r="BR59" s="4"/>
      <c r="BS59" s="4"/>
      <c r="BT59" s="118"/>
      <c r="BU59" s="4"/>
      <c r="BV59" s="4"/>
      <c r="BW59" s="4"/>
      <c r="BX59" s="4"/>
      <c r="BY59" s="4"/>
      <c r="BZ59" s="4"/>
      <c r="CA59" s="118"/>
      <c r="CB59" s="4"/>
      <c r="CC59" s="4"/>
      <c r="CD59" s="4"/>
      <c r="CE59" s="135"/>
      <c r="CF59" s="135"/>
      <c r="CG59" s="135"/>
      <c r="CH59" s="135"/>
      <c r="CI59" s="135"/>
      <c r="CJ59" s="135"/>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118"/>
      <c r="DU59" s="4"/>
      <c r="DV59" s="4"/>
      <c r="DW59" s="4"/>
      <c r="DX59" s="4"/>
      <c r="DY59" s="4"/>
      <c r="DZ59" s="4"/>
      <c r="EA59" s="4"/>
      <c r="EB59" s="4"/>
      <c r="EC59" s="4"/>
    </row>
    <row r="60" spans="1:133" s="1" customFormat="1" ht="30" customHeight="1" thickBot="1" x14ac:dyDescent="0.35">
      <c r="A60" s="7"/>
      <c r="B60" s="17" t="s">
        <v>70</v>
      </c>
      <c r="C60" s="13" t="s">
        <v>246</v>
      </c>
      <c r="D60" s="32"/>
      <c r="E60" s="58">
        <v>46319</v>
      </c>
      <c r="F60" s="58">
        <v>46319</v>
      </c>
      <c r="G60" s="31">
        <f t="shared" si="56"/>
        <v>1</v>
      </c>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118"/>
      <c r="AM60" s="4"/>
      <c r="AN60" s="4"/>
      <c r="AO60" s="4"/>
      <c r="AP60" s="4"/>
      <c r="AQ60" s="135"/>
      <c r="AR60" s="4"/>
      <c r="AS60" s="4"/>
      <c r="AT60" s="4"/>
      <c r="AU60" s="4"/>
      <c r="AV60" s="4"/>
      <c r="AW60" s="4"/>
      <c r="AX60" s="4"/>
      <c r="AY60" s="4"/>
      <c r="AZ60" s="4"/>
      <c r="BA60" s="4"/>
      <c r="BB60" s="4"/>
      <c r="BC60" s="135"/>
      <c r="BD60" s="4"/>
      <c r="BE60" s="4"/>
      <c r="BF60" s="4"/>
      <c r="BG60" s="4"/>
      <c r="BH60" s="4"/>
      <c r="BI60" s="4"/>
      <c r="BJ60" s="4"/>
      <c r="BK60" s="4"/>
      <c r="BL60" s="4"/>
      <c r="BM60" s="4"/>
      <c r="BN60" s="4"/>
      <c r="BO60" s="135"/>
      <c r="BP60" s="135"/>
      <c r="BQ60" s="135"/>
      <c r="BR60" s="4"/>
      <c r="BS60" s="4"/>
      <c r="BT60" s="118"/>
      <c r="BU60" s="4"/>
      <c r="BV60" s="4"/>
      <c r="BW60" s="4"/>
      <c r="BX60" s="4"/>
      <c r="BY60" s="4"/>
      <c r="BZ60" s="4"/>
      <c r="CA60" s="118"/>
      <c r="CB60" s="4"/>
      <c r="CC60" s="4"/>
      <c r="CD60" s="4"/>
      <c r="CE60" s="135"/>
      <c r="CF60" s="135"/>
      <c r="CG60" s="135"/>
      <c r="CH60" s="135"/>
      <c r="CI60" s="135"/>
      <c r="CJ60" s="135"/>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118"/>
      <c r="DU60" s="4"/>
      <c r="DV60" s="4"/>
      <c r="DW60" s="4"/>
      <c r="DX60" s="4"/>
      <c r="DY60" s="4"/>
      <c r="DZ60" s="4"/>
      <c r="EA60" s="4"/>
      <c r="EB60" s="4"/>
      <c r="EC60" s="4"/>
    </row>
    <row r="61" spans="1:133" s="1" customFormat="1" ht="30" customHeight="1" thickBot="1" x14ac:dyDescent="0.35">
      <c r="A61" s="7"/>
      <c r="B61" s="17" t="s">
        <v>71</v>
      </c>
      <c r="C61" s="13" t="s">
        <v>246</v>
      </c>
      <c r="D61" s="32"/>
      <c r="E61" s="58">
        <v>46320</v>
      </c>
      <c r="F61" s="58">
        <v>46320</v>
      </c>
      <c r="G61" s="31">
        <f t="shared" si="56"/>
        <v>1</v>
      </c>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118"/>
      <c r="AM61" s="4"/>
      <c r="AN61" s="4"/>
      <c r="AO61" s="4"/>
      <c r="AP61" s="4"/>
      <c r="AQ61" s="135"/>
      <c r="AR61" s="4"/>
      <c r="AS61" s="4"/>
      <c r="AT61" s="4"/>
      <c r="AU61" s="4"/>
      <c r="AV61" s="4"/>
      <c r="AW61" s="4"/>
      <c r="AX61" s="4"/>
      <c r="AY61" s="4"/>
      <c r="AZ61" s="4"/>
      <c r="BA61" s="4"/>
      <c r="BB61" s="4"/>
      <c r="BC61" s="135"/>
      <c r="BD61" s="4"/>
      <c r="BE61" s="4"/>
      <c r="BF61" s="4"/>
      <c r="BG61" s="4"/>
      <c r="BH61" s="4"/>
      <c r="BI61" s="4"/>
      <c r="BJ61" s="4"/>
      <c r="BK61" s="4"/>
      <c r="BL61" s="4"/>
      <c r="BM61" s="4"/>
      <c r="BN61" s="4"/>
      <c r="BO61" s="135"/>
      <c r="BP61" s="135"/>
      <c r="BQ61" s="135"/>
      <c r="BR61" s="4"/>
      <c r="BS61" s="4"/>
      <c r="BT61" s="118"/>
      <c r="BU61" s="4"/>
      <c r="BV61" s="4"/>
      <c r="BW61" s="4"/>
      <c r="BX61" s="4"/>
      <c r="BY61" s="4"/>
      <c r="BZ61" s="4"/>
      <c r="CA61" s="118"/>
      <c r="CB61" s="4"/>
      <c r="CC61" s="4"/>
      <c r="CD61" s="4"/>
      <c r="CE61" s="135"/>
      <c r="CF61" s="135"/>
      <c r="CG61" s="135"/>
      <c r="CH61" s="135"/>
      <c r="CI61" s="135"/>
      <c r="CJ61" s="135"/>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118"/>
      <c r="DU61" s="4"/>
      <c r="DV61" s="4"/>
      <c r="DW61" s="4"/>
      <c r="DX61" s="4"/>
      <c r="DY61" s="4"/>
      <c r="DZ61" s="4"/>
      <c r="EA61" s="4"/>
      <c r="EB61" s="4"/>
      <c r="EC61" s="4"/>
    </row>
    <row r="62" spans="1:133" s="1" customFormat="1" ht="30" customHeight="1" thickBot="1" x14ac:dyDescent="0.35">
      <c r="A62" s="7" t="s">
        <v>11</v>
      </c>
      <c r="B62" s="29" t="s">
        <v>57</v>
      </c>
      <c r="C62" s="12"/>
      <c r="D62" s="30"/>
      <c r="E62" s="56"/>
      <c r="F62" s="57"/>
      <c r="G62" s="31" t="str">
        <f t="shared" si="56"/>
        <v/>
      </c>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118"/>
      <c r="AM62" s="4"/>
      <c r="AN62" s="4"/>
      <c r="AO62" s="4"/>
      <c r="AP62" s="4"/>
      <c r="AQ62" s="135"/>
      <c r="AR62" s="4"/>
      <c r="AS62" s="4"/>
      <c r="AT62" s="4"/>
      <c r="AU62" s="4"/>
      <c r="AV62" s="4"/>
      <c r="AW62" s="4"/>
      <c r="AX62" s="4"/>
      <c r="AY62" s="4"/>
      <c r="AZ62" s="4"/>
      <c r="BA62" s="4"/>
      <c r="BB62" s="4"/>
      <c r="BC62" s="135"/>
      <c r="BD62" s="4"/>
      <c r="BE62" s="4"/>
      <c r="BF62" s="4"/>
      <c r="BG62" s="4"/>
      <c r="BH62" s="4"/>
      <c r="BI62" s="4"/>
      <c r="BJ62" s="4"/>
      <c r="BK62" s="4"/>
      <c r="BL62" s="4"/>
      <c r="BM62" s="4"/>
      <c r="BN62" s="4"/>
      <c r="BO62" s="135"/>
      <c r="BP62" s="135"/>
      <c r="BQ62" s="135"/>
      <c r="BR62" s="4"/>
      <c r="BS62" s="4"/>
      <c r="BT62" s="118"/>
      <c r="BU62" s="4"/>
      <c r="BV62" s="4"/>
      <c r="BW62" s="4"/>
      <c r="BX62" s="4"/>
      <c r="BY62" s="4"/>
      <c r="BZ62" s="4"/>
      <c r="CA62" s="118"/>
      <c r="CB62" s="4"/>
      <c r="CC62" s="4"/>
      <c r="CD62" s="4"/>
      <c r="CE62" s="135"/>
      <c r="CF62" s="135"/>
      <c r="CG62" s="135"/>
      <c r="CH62" s="135"/>
      <c r="CI62" s="135"/>
      <c r="CJ62" s="135"/>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118"/>
      <c r="DU62" s="4"/>
      <c r="DV62" s="4"/>
      <c r="DW62" s="4"/>
      <c r="DX62" s="4"/>
      <c r="DY62" s="4"/>
      <c r="DZ62" s="4"/>
      <c r="EA62" s="4"/>
      <c r="EB62" s="4"/>
      <c r="EC62" s="4"/>
    </row>
    <row r="63" spans="1:133" s="1" customFormat="1" ht="30" customHeight="1" thickBot="1" x14ac:dyDescent="0.35">
      <c r="A63" s="7"/>
      <c r="B63" s="17" t="s">
        <v>105</v>
      </c>
      <c r="C63" s="13" t="s">
        <v>246</v>
      </c>
      <c r="D63" s="32"/>
      <c r="E63" s="58">
        <v>46326</v>
      </c>
      <c r="F63" s="58">
        <v>46326</v>
      </c>
      <c r="G63" s="31">
        <f t="shared" si="56"/>
        <v>1</v>
      </c>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118"/>
      <c r="AM63" s="4"/>
      <c r="AN63" s="4"/>
      <c r="AO63" s="4"/>
      <c r="AP63" s="4"/>
      <c r="AQ63" s="135"/>
      <c r="AR63" s="4"/>
      <c r="AS63" s="4"/>
      <c r="AT63" s="4"/>
      <c r="AU63" s="4"/>
      <c r="AV63" s="4"/>
      <c r="AW63" s="4"/>
      <c r="AX63" s="4"/>
      <c r="AY63" s="4"/>
      <c r="AZ63" s="4"/>
      <c r="BA63" s="4"/>
      <c r="BB63" s="4"/>
      <c r="BC63" s="135"/>
      <c r="BD63" s="4"/>
      <c r="BE63" s="4"/>
      <c r="BF63" s="4"/>
      <c r="BG63" s="4"/>
      <c r="BH63" s="4"/>
      <c r="BI63" s="4"/>
      <c r="BJ63" s="4"/>
      <c r="BK63" s="4"/>
      <c r="BL63" s="4"/>
      <c r="BM63" s="4"/>
      <c r="BN63" s="4"/>
      <c r="BO63" s="135"/>
      <c r="BP63" s="135"/>
      <c r="BQ63" s="135"/>
      <c r="BR63" s="4"/>
      <c r="BS63" s="4"/>
      <c r="BT63" s="118"/>
      <c r="BU63" s="4"/>
      <c r="BV63" s="4"/>
      <c r="BW63" s="4"/>
      <c r="BX63" s="4"/>
      <c r="BY63" s="4"/>
      <c r="BZ63" s="4"/>
      <c r="CA63" s="118"/>
      <c r="CB63" s="4"/>
      <c r="CC63" s="4"/>
      <c r="CD63" s="4"/>
      <c r="CE63" s="135"/>
      <c r="CF63" s="135"/>
      <c r="CG63" s="135"/>
      <c r="CH63" s="135"/>
      <c r="CI63" s="135"/>
      <c r="CJ63" s="135"/>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118"/>
      <c r="DU63" s="4"/>
      <c r="DV63" s="4"/>
      <c r="DW63" s="4"/>
      <c r="DX63" s="4"/>
      <c r="DY63" s="4"/>
      <c r="DZ63" s="4"/>
      <c r="EA63" s="4"/>
      <c r="EB63" s="4"/>
      <c r="EC63" s="4"/>
    </row>
    <row r="64" spans="1:133" s="1" customFormat="1" ht="30" customHeight="1" thickBot="1" x14ac:dyDescent="0.35">
      <c r="A64" s="7"/>
      <c r="B64" s="17" t="s">
        <v>104</v>
      </c>
      <c r="C64" s="13" t="s">
        <v>246</v>
      </c>
      <c r="D64" s="32"/>
      <c r="E64" s="58">
        <v>46326</v>
      </c>
      <c r="F64" s="58">
        <v>46326</v>
      </c>
      <c r="G64" s="31">
        <v>1</v>
      </c>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118"/>
      <c r="AM64" s="4"/>
      <c r="AN64" s="4"/>
      <c r="AO64" s="4"/>
      <c r="AP64" s="4"/>
      <c r="AQ64" s="135"/>
      <c r="AR64" s="4"/>
      <c r="AS64" s="4"/>
      <c r="AT64" s="4"/>
      <c r="AU64" s="4"/>
      <c r="AV64" s="4"/>
      <c r="AW64" s="4"/>
      <c r="AX64" s="4"/>
      <c r="AY64" s="4"/>
      <c r="AZ64" s="4"/>
      <c r="BA64" s="4"/>
      <c r="BB64" s="4"/>
      <c r="BC64" s="135"/>
      <c r="BD64" s="4"/>
      <c r="BE64" s="4"/>
      <c r="BF64" s="4"/>
      <c r="BG64" s="4"/>
      <c r="BH64" s="4"/>
      <c r="BI64" s="4"/>
      <c r="BJ64" s="4"/>
      <c r="BK64" s="4"/>
      <c r="BL64" s="4"/>
      <c r="BM64" s="4"/>
      <c r="BN64" s="4"/>
      <c r="BO64" s="135"/>
      <c r="BP64" s="135"/>
      <c r="BQ64" s="135"/>
      <c r="BR64" s="4"/>
      <c r="BS64" s="4"/>
      <c r="BT64" s="118"/>
      <c r="BU64" s="4"/>
      <c r="BV64" s="4"/>
      <c r="BW64" s="4"/>
      <c r="BX64" s="4"/>
      <c r="BY64" s="4"/>
      <c r="BZ64" s="4"/>
      <c r="CA64" s="118"/>
      <c r="CB64" s="4"/>
      <c r="CC64" s="4"/>
      <c r="CD64" s="4"/>
      <c r="CE64" s="135"/>
      <c r="CF64" s="135"/>
      <c r="CG64" s="135"/>
      <c r="CH64" s="135"/>
      <c r="CI64" s="135"/>
      <c r="CJ64" s="135"/>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118"/>
      <c r="DU64" s="4"/>
      <c r="DV64" s="4"/>
      <c r="DW64" s="4"/>
      <c r="DX64" s="4"/>
      <c r="DY64" s="4"/>
      <c r="DZ64" s="4"/>
      <c r="EA64" s="4"/>
      <c r="EB64" s="4"/>
      <c r="EC64" s="4"/>
    </row>
    <row r="65" spans="1:133" s="1" customFormat="1" ht="30" customHeight="1" thickBot="1" x14ac:dyDescent="0.35">
      <c r="A65" s="7"/>
      <c r="B65" s="17" t="s">
        <v>83</v>
      </c>
      <c r="C65" s="13" t="s">
        <v>246</v>
      </c>
      <c r="D65" s="32"/>
      <c r="E65" s="58">
        <v>46326</v>
      </c>
      <c r="F65" s="58">
        <v>46326</v>
      </c>
      <c r="G65" s="31">
        <f t="shared" si="56"/>
        <v>1</v>
      </c>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118"/>
      <c r="AM65" s="4"/>
      <c r="AN65" s="4"/>
      <c r="AO65" s="4"/>
      <c r="AP65" s="4"/>
      <c r="AQ65" s="135"/>
      <c r="AR65" s="4"/>
      <c r="AS65" s="4"/>
      <c r="AT65" s="4"/>
      <c r="AU65" s="4"/>
      <c r="AV65" s="4"/>
      <c r="AW65" s="4"/>
      <c r="AX65" s="4"/>
      <c r="AY65" s="4"/>
      <c r="AZ65" s="4"/>
      <c r="BA65" s="4"/>
      <c r="BB65" s="4"/>
      <c r="BC65" s="135"/>
      <c r="BD65" s="4"/>
      <c r="BE65" s="4"/>
      <c r="BF65" s="4"/>
      <c r="BG65" s="4"/>
      <c r="BH65" s="4"/>
      <c r="BI65" s="4"/>
      <c r="BJ65" s="4"/>
      <c r="BK65" s="4"/>
      <c r="BL65" s="4"/>
      <c r="BM65" s="4"/>
      <c r="BN65" s="4"/>
      <c r="BO65" s="135"/>
      <c r="BP65" s="135"/>
      <c r="BQ65" s="135"/>
      <c r="BR65" s="4"/>
      <c r="BS65" s="4"/>
      <c r="BT65" s="118"/>
      <c r="BU65" s="4"/>
      <c r="BV65" s="4"/>
      <c r="BW65" s="4"/>
      <c r="BX65" s="4"/>
      <c r="BY65" s="4"/>
      <c r="BZ65" s="4"/>
      <c r="CA65" s="118"/>
      <c r="CB65" s="4"/>
      <c r="CC65" s="4"/>
      <c r="CD65" s="4"/>
      <c r="CE65" s="135"/>
      <c r="CF65" s="135"/>
      <c r="CG65" s="135"/>
      <c r="CH65" s="135"/>
      <c r="CI65" s="135"/>
      <c r="CJ65" s="135"/>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118"/>
      <c r="DU65" s="4"/>
      <c r="DV65" s="4"/>
      <c r="DW65" s="4"/>
      <c r="DX65" s="4"/>
      <c r="DY65" s="4"/>
      <c r="DZ65" s="4"/>
      <c r="EA65" s="4"/>
      <c r="EB65" s="4"/>
      <c r="EC65" s="4"/>
    </row>
    <row r="66" spans="1:133" s="1" customFormat="1" ht="30" customHeight="1" thickBot="1" x14ac:dyDescent="0.35">
      <c r="A66" s="7"/>
      <c r="B66" s="17" t="s">
        <v>112</v>
      </c>
      <c r="C66" s="13" t="s">
        <v>246</v>
      </c>
      <c r="D66" s="32"/>
      <c r="E66" s="58">
        <v>46326</v>
      </c>
      <c r="F66" s="58">
        <v>46326</v>
      </c>
      <c r="G66" s="31">
        <v>1</v>
      </c>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118"/>
      <c r="AM66" s="4"/>
      <c r="AN66" s="4"/>
      <c r="AO66" s="4"/>
      <c r="AP66" s="4"/>
      <c r="AQ66" s="135"/>
      <c r="AR66" s="4"/>
      <c r="AS66" s="4"/>
      <c r="AT66" s="4"/>
      <c r="AU66" s="4"/>
      <c r="AV66" s="4"/>
      <c r="AW66" s="4"/>
      <c r="AX66" s="4"/>
      <c r="AY66" s="4"/>
      <c r="AZ66" s="4"/>
      <c r="BA66" s="4"/>
      <c r="BB66" s="4"/>
      <c r="BC66" s="135"/>
      <c r="BD66" s="4"/>
      <c r="BE66" s="4"/>
      <c r="BF66" s="4"/>
      <c r="BG66" s="4"/>
      <c r="BH66" s="4"/>
      <c r="BI66" s="4"/>
      <c r="BJ66" s="4"/>
      <c r="BK66" s="4"/>
      <c r="BL66" s="4"/>
      <c r="BM66" s="4"/>
      <c r="BN66" s="4"/>
      <c r="BO66" s="135"/>
      <c r="BP66" s="135"/>
      <c r="BQ66" s="135"/>
      <c r="BR66" s="4"/>
      <c r="BS66" s="4"/>
      <c r="BT66" s="118"/>
      <c r="BU66" s="4"/>
      <c r="BV66" s="4"/>
      <c r="BW66" s="4"/>
      <c r="BX66" s="4"/>
      <c r="BY66" s="4"/>
      <c r="BZ66" s="4"/>
      <c r="CA66" s="118"/>
      <c r="CB66" s="4"/>
      <c r="CC66" s="4"/>
      <c r="CD66" s="4"/>
      <c r="CE66" s="135"/>
      <c r="CF66" s="135"/>
      <c r="CG66" s="135"/>
      <c r="CH66" s="135"/>
      <c r="CI66" s="135"/>
      <c r="CJ66" s="135"/>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118"/>
      <c r="DU66" s="4"/>
      <c r="DV66" s="4"/>
      <c r="DW66" s="4"/>
      <c r="DX66" s="4"/>
      <c r="DY66" s="4"/>
      <c r="DZ66" s="4"/>
      <c r="EA66" s="4"/>
      <c r="EB66" s="4"/>
      <c r="EC66" s="4"/>
    </row>
    <row r="67" spans="1:133" s="1" customFormat="1" ht="30" customHeight="1" thickBot="1" x14ac:dyDescent="0.35">
      <c r="A67" s="7"/>
      <c r="B67" s="17" t="s">
        <v>84</v>
      </c>
      <c r="C67" s="13" t="s">
        <v>246</v>
      </c>
      <c r="D67" s="32"/>
      <c r="E67" s="58">
        <v>46326</v>
      </c>
      <c r="F67" s="58">
        <v>46326</v>
      </c>
      <c r="G67" s="31">
        <f t="shared" si="56"/>
        <v>1</v>
      </c>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118"/>
      <c r="AM67" s="4"/>
      <c r="AN67" s="4"/>
      <c r="AO67" s="4"/>
      <c r="AP67" s="4"/>
      <c r="AQ67" s="135"/>
      <c r="AR67" s="4"/>
      <c r="AS67" s="4"/>
      <c r="AT67" s="4"/>
      <c r="AU67" s="4"/>
      <c r="AV67" s="4"/>
      <c r="AW67" s="4"/>
      <c r="AX67" s="4"/>
      <c r="AY67" s="4"/>
      <c r="AZ67" s="4"/>
      <c r="BA67" s="4"/>
      <c r="BB67" s="4"/>
      <c r="BC67" s="135"/>
      <c r="BD67" s="4"/>
      <c r="BE67" s="4"/>
      <c r="BF67" s="4"/>
      <c r="BG67" s="4"/>
      <c r="BH67" s="4"/>
      <c r="BI67" s="4"/>
      <c r="BJ67" s="4"/>
      <c r="BK67" s="4"/>
      <c r="BL67" s="4"/>
      <c r="BM67" s="4"/>
      <c r="BN67" s="4"/>
      <c r="BO67" s="135"/>
      <c r="BP67" s="135"/>
      <c r="BQ67" s="135"/>
      <c r="BR67" s="4"/>
      <c r="BS67" s="4"/>
      <c r="BT67" s="118"/>
      <c r="BU67" s="4"/>
      <c r="BV67" s="4"/>
      <c r="BW67" s="4"/>
      <c r="BX67" s="4"/>
      <c r="BY67" s="4"/>
      <c r="BZ67" s="4"/>
      <c r="CA67" s="118"/>
      <c r="CB67" s="4"/>
      <c r="CC67" s="4"/>
      <c r="CD67" s="4"/>
      <c r="CE67" s="135"/>
      <c r="CF67" s="135"/>
      <c r="CG67" s="135"/>
      <c r="CH67" s="135"/>
      <c r="CI67" s="135"/>
      <c r="CJ67" s="135"/>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118"/>
      <c r="DU67" s="4"/>
      <c r="DV67" s="4"/>
      <c r="DW67" s="4"/>
      <c r="DX67" s="4"/>
      <c r="DY67" s="4"/>
      <c r="DZ67" s="4"/>
      <c r="EA67" s="4"/>
      <c r="EB67" s="4"/>
      <c r="EC67" s="4"/>
    </row>
    <row r="68" spans="1:133" s="1" customFormat="1" ht="30" customHeight="1" thickBot="1" x14ac:dyDescent="0.35">
      <c r="A68" s="7"/>
      <c r="B68" s="17" t="s">
        <v>85</v>
      </c>
      <c r="C68" s="13" t="s">
        <v>246</v>
      </c>
      <c r="D68" s="32"/>
      <c r="E68" s="58">
        <v>46327</v>
      </c>
      <c r="F68" s="58">
        <v>46327</v>
      </c>
      <c r="G68" s="31">
        <f t="shared" si="56"/>
        <v>1</v>
      </c>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118"/>
      <c r="AM68" s="4"/>
      <c r="AN68" s="4"/>
      <c r="AO68" s="4"/>
      <c r="AP68" s="4"/>
      <c r="AQ68" s="135"/>
      <c r="AR68" s="4"/>
      <c r="AS68" s="4"/>
      <c r="AT68" s="4"/>
      <c r="AU68" s="4"/>
      <c r="AV68" s="4"/>
      <c r="AW68" s="4"/>
      <c r="AX68" s="4"/>
      <c r="AY68" s="4"/>
      <c r="AZ68" s="4"/>
      <c r="BA68" s="4"/>
      <c r="BB68" s="4"/>
      <c r="BC68" s="135"/>
      <c r="BD68" s="4"/>
      <c r="BE68" s="4"/>
      <c r="BF68" s="4"/>
      <c r="BG68" s="4"/>
      <c r="BH68" s="4"/>
      <c r="BI68" s="4"/>
      <c r="BJ68" s="4"/>
      <c r="BK68" s="4"/>
      <c r="BL68" s="4"/>
      <c r="BM68" s="4"/>
      <c r="BN68" s="4"/>
      <c r="BO68" s="135"/>
      <c r="BP68" s="135"/>
      <c r="BQ68" s="135"/>
      <c r="BR68" s="4"/>
      <c r="BS68" s="4"/>
      <c r="BT68" s="118"/>
      <c r="BU68" s="4"/>
      <c r="BV68" s="4"/>
      <c r="BW68" s="4"/>
      <c r="BX68" s="4"/>
      <c r="BY68" s="4"/>
      <c r="BZ68" s="4"/>
      <c r="CA68" s="118"/>
      <c r="CB68" s="4"/>
      <c r="CC68" s="4"/>
      <c r="CD68" s="4"/>
      <c r="CE68" s="135"/>
      <c r="CF68" s="135"/>
      <c r="CG68" s="135"/>
      <c r="CH68" s="135"/>
      <c r="CI68" s="135"/>
      <c r="CJ68" s="135"/>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118"/>
      <c r="DU68" s="4"/>
      <c r="DV68" s="4"/>
      <c r="DW68" s="4"/>
      <c r="DX68" s="4"/>
      <c r="DY68" s="4"/>
      <c r="DZ68" s="4"/>
      <c r="EA68" s="4"/>
      <c r="EB68" s="4"/>
      <c r="EC68" s="4"/>
    </row>
    <row r="69" spans="1:133" s="1" customFormat="1" ht="30" customHeight="1" thickBot="1" x14ac:dyDescent="0.35">
      <c r="A69" s="7"/>
      <c r="B69" s="17" t="s">
        <v>86</v>
      </c>
      <c r="C69" s="13" t="s">
        <v>246</v>
      </c>
      <c r="D69" s="32"/>
      <c r="E69" s="58">
        <v>46327</v>
      </c>
      <c r="F69" s="58">
        <v>46327</v>
      </c>
      <c r="G69" s="31">
        <v>1</v>
      </c>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118"/>
      <c r="AM69" s="4"/>
      <c r="AN69" s="4"/>
      <c r="AO69" s="4"/>
      <c r="AP69" s="4"/>
      <c r="AQ69" s="135"/>
      <c r="AR69" s="4"/>
      <c r="AS69" s="4"/>
      <c r="AT69" s="4"/>
      <c r="AU69" s="4"/>
      <c r="AV69" s="4"/>
      <c r="AW69" s="4"/>
      <c r="AX69" s="4"/>
      <c r="AY69" s="4"/>
      <c r="AZ69" s="4"/>
      <c r="BA69" s="4"/>
      <c r="BB69" s="4"/>
      <c r="BC69" s="135"/>
      <c r="BD69" s="4"/>
      <c r="BE69" s="4"/>
      <c r="BF69" s="4"/>
      <c r="BG69" s="4"/>
      <c r="BH69" s="4"/>
      <c r="BI69" s="4"/>
      <c r="BJ69" s="4"/>
      <c r="BK69" s="4"/>
      <c r="BL69" s="4"/>
      <c r="BM69" s="4"/>
      <c r="BN69" s="4"/>
      <c r="BO69" s="135"/>
      <c r="BP69" s="135"/>
      <c r="BQ69" s="135"/>
      <c r="BR69" s="4"/>
      <c r="BS69" s="4"/>
      <c r="BT69" s="118"/>
      <c r="BU69" s="4"/>
      <c r="BV69" s="4"/>
      <c r="BW69" s="4"/>
      <c r="BX69" s="4"/>
      <c r="BY69" s="4"/>
      <c r="BZ69" s="4"/>
      <c r="CA69" s="118"/>
      <c r="CB69" s="4"/>
      <c r="CC69" s="4"/>
      <c r="CD69" s="4"/>
      <c r="CE69" s="135"/>
      <c r="CF69" s="135"/>
      <c r="CG69" s="135"/>
      <c r="CH69" s="135"/>
      <c r="CI69" s="135"/>
      <c r="CJ69" s="135"/>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118"/>
      <c r="DU69" s="4"/>
      <c r="DV69" s="4"/>
      <c r="DW69" s="4"/>
      <c r="DX69" s="4"/>
      <c r="DY69" s="4"/>
      <c r="DZ69" s="4"/>
      <c r="EA69" s="4"/>
      <c r="EB69" s="4"/>
      <c r="EC69" s="4"/>
    </row>
    <row r="70" spans="1:133" s="1" customFormat="1" ht="30" customHeight="1" thickBot="1" x14ac:dyDescent="0.35">
      <c r="A70" s="7"/>
      <c r="B70" s="17" t="s">
        <v>87</v>
      </c>
      <c r="C70" s="13" t="s">
        <v>246</v>
      </c>
      <c r="D70" s="32"/>
      <c r="E70" s="58">
        <v>46327</v>
      </c>
      <c r="F70" s="58">
        <v>46327</v>
      </c>
      <c r="G70" s="31">
        <f t="shared" si="56"/>
        <v>1</v>
      </c>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118"/>
      <c r="AM70" s="4"/>
      <c r="AN70" s="4"/>
      <c r="AO70" s="4"/>
      <c r="AP70" s="4"/>
      <c r="AQ70" s="135"/>
      <c r="AR70" s="4"/>
      <c r="AS70" s="4"/>
      <c r="AT70" s="4"/>
      <c r="AU70" s="4"/>
      <c r="AV70" s="4"/>
      <c r="AW70" s="4"/>
      <c r="AX70" s="4"/>
      <c r="AY70" s="4"/>
      <c r="AZ70" s="4"/>
      <c r="BA70" s="4"/>
      <c r="BB70" s="4"/>
      <c r="BC70" s="135"/>
      <c r="BD70" s="4"/>
      <c r="BE70" s="4"/>
      <c r="BF70" s="4"/>
      <c r="BG70" s="4"/>
      <c r="BH70" s="4"/>
      <c r="BI70" s="4"/>
      <c r="BJ70" s="4"/>
      <c r="BK70" s="4"/>
      <c r="BL70" s="4"/>
      <c r="BM70" s="4"/>
      <c r="BN70" s="4"/>
      <c r="BO70" s="135"/>
      <c r="BP70" s="135"/>
      <c r="BQ70" s="135"/>
      <c r="BR70" s="4"/>
      <c r="BS70" s="4"/>
      <c r="BT70" s="118"/>
      <c r="BU70" s="4"/>
      <c r="BV70" s="4"/>
      <c r="BW70" s="4"/>
      <c r="BX70" s="4"/>
      <c r="BY70" s="4"/>
      <c r="BZ70" s="4"/>
      <c r="CA70" s="118"/>
      <c r="CB70" s="4"/>
      <c r="CC70" s="4"/>
      <c r="CD70" s="4"/>
      <c r="CE70" s="135"/>
      <c r="CF70" s="135"/>
      <c r="CG70" s="135"/>
      <c r="CH70" s="135"/>
      <c r="CI70" s="135"/>
      <c r="CJ70" s="135"/>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118"/>
      <c r="DU70" s="4"/>
      <c r="DV70" s="4"/>
      <c r="DW70" s="4"/>
      <c r="DX70" s="4"/>
      <c r="DY70" s="4"/>
      <c r="DZ70" s="4"/>
      <c r="EA70" s="4"/>
      <c r="EB70" s="4"/>
      <c r="EC70" s="4"/>
    </row>
    <row r="71" spans="1:133" s="1" customFormat="1" ht="30" customHeight="1" thickBot="1" x14ac:dyDescent="0.35">
      <c r="A71" s="7"/>
      <c r="B71" s="17" t="s">
        <v>89</v>
      </c>
      <c r="C71" s="13" t="s">
        <v>246</v>
      </c>
      <c r="D71" s="32"/>
      <c r="E71" s="58">
        <v>46327</v>
      </c>
      <c r="F71" s="58">
        <v>46327</v>
      </c>
      <c r="G71" s="31">
        <v>1</v>
      </c>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118"/>
      <c r="AM71" s="4"/>
      <c r="AN71" s="4"/>
      <c r="AO71" s="4"/>
      <c r="AP71" s="4"/>
      <c r="AQ71" s="135"/>
      <c r="AR71" s="4"/>
      <c r="AS71" s="4"/>
      <c r="AT71" s="4"/>
      <c r="AU71" s="4"/>
      <c r="AV71" s="4"/>
      <c r="AW71" s="4"/>
      <c r="AX71" s="4"/>
      <c r="AY71" s="4"/>
      <c r="AZ71" s="4"/>
      <c r="BA71" s="4"/>
      <c r="BB71" s="4"/>
      <c r="BC71" s="135"/>
      <c r="BD71" s="4"/>
      <c r="BE71" s="4"/>
      <c r="BF71" s="4"/>
      <c r="BG71" s="4"/>
      <c r="BH71" s="4"/>
      <c r="BI71" s="4"/>
      <c r="BJ71" s="4"/>
      <c r="BK71" s="4"/>
      <c r="BL71" s="4"/>
      <c r="BM71" s="4"/>
      <c r="BN71" s="4"/>
      <c r="BO71" s="135"/>
      <c r="BP71" s="135"/>
      <c r="BQ71" s="135"/>
      <c r="BR71" s="4"/>
      <c r="BS71" s="4"/>
      <c r="BT71" s="118"/>
      <c r="BU71" s="4"/>
      <c r="BV71" s="4"/>
      <c r="BW71" s="4"/>
      <c r="BX71" s="4"/>
      <c r="BY71" s="4"/>
      <c r="BZ71" s="4"/>
      <c r="CA71" s="118"/>
      <c r="CB71" s="4"/>
      <c r="CC71" s="4"/>
      <c r="CD71" s="4"/>
      <c r="CE71" s="135"/>
      <c r="CF71" s="135"/>
      <c r="CG71" s="135"/>
      <c r="CH71" s="135"/>
      <c r="CI71" s="135"/>
      <c r="CJ71" s="135"/>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118"/>
      <c r="DU71" s="4"/>
      <c r="DV71" s="4"/>
      <c r="DW71" s="4"/>
      <c r="DX71" s="4"/>
      <c r="DY71" s="4"/>
      <c r="DZ71" s="4"/>
      <c r="EA71" s="4"/>
      <c r="EB71" s="4"/>
      <c r="EC71" s="4"/>
    </row>
    <row r="72" spans="1:133" s="1" customFormat="1" ht="30" customHeight="1" thickBot="1" x14ac:dyDescent="0.35">
      <c r="A72" s="7"/>
      <c r="B72" s="17" t="s">
        <v>90</v>
      </c>
      <c r="C72" s="13" t="s">
        <v>246</v>
      </c>
      <c r="D72" s="32"/>
      <c r="E72" s="58">
        <v>46327</v>
      </c>
      <c r="F72" s="58">
        <v>46327</v>
      </c>
      <c r="G72" s="31">
        <f t="shared" si="56"/>
        <v>1</v>
      </c>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118"/>
      <c r="AM72" s="4"/>
      <c r="AN72" s="4"/>
      <c r="AO72" s="4"/>
      <c r="AP72" s="4"/>
      <c r="AQ72" s="135"/>
      <c r="AR72" s="4"/>
      <c r="AS72" s="4"/>
      <c r="AT72" s="4"/>
      <c r="AU72" s="4"/>
      <c r="AV72" s="4"/>
      <c r="AW72" s="4"/>
      <c r="AX72" s="4"/>
      <c r="AY72" s="4"/>
      <c r="AZ72" s="4"/>
      <c r="BA72" s="4"/>
      <c r="BB72" s="4"/>
      <c r="BC72" s="135"/>
      <c r="BD72" s="4"/>
      <c r="BE72" s="4"/>
      <c r="BF72" s="4"/>
      <c r="BG72" s="4"/>
      <c r="BH72" s="4"/>
      <c r="BI72" s="4"/>
      <c r="BJ72" s="4"/>
      <c r="BK72" s="4"/>
      <c r="BL72" s="4"/>
      <c r="BM72" s="4"/>
      <c r="BN72" s="4"/>
      <c r="BO72" s="135"/>
      <c r="BP72" s="135"/>
      <c r="BQ72" s="135"/>
      <c r="BR72" s="4"/>
      <c r="BS72" s="4"/>
      <c r="BT72" s="118"/>
      <c r="BU72" s="4"/>
      <c r="BV72" s="4"/>
      <c r="BW72" s="4"/>
      <c r="BX72" s="4"/>
      <c r="BY72" s="4"/>
      <c r="BZ72" s="4"/>
      <c r="CA72" s="118"/>
      <c r="CB72" s="4"/>
      <c r="CC72" s="4"/>
      <c r="CD72" s="4"/>
      <c r="CE72" s="135"/>
      <c r="CF72" s="135"/>
      <c r="CG72" s="135"/>
      <c r="CH72" s="135"/>
      <c r="CI72" s="135"/>
      <c r="CJ72" s="135"/>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118"/>
      <c r="DU72" s="4"/>
      <c r="DV72" s="4"/>
      <c r="DW72" s="4"/>
      <c r="DX72" s="4"/>
      <c r="DY72" s="4"/>
      <c r="DZ72" s="4"/>
      <c r="EA72" s="4"/>
      <c r="EB72" s="4"/>
      <c r="EC72" s="4"/>
    </row>
    <row r="73" spans="1:133" s="1" customFormat="1" ht="30" customHeight="1" thickBot="1" x14ac:dyDescent="0.35">
      <c r="A73" s="7" t="s">
        <v>11</v>
      </c>
      <c r="B73" s="33" t="s">
        <v>91</v>
      </c>
      <c r="C73" s="14"/>
      <c r="D73" s="34"/>
      <c r="E73" s="59"/>
      <c r="F73" s="60"/>
      <c r="G73" s="31" t="str">
        <f t="shared" si="56"/>
        <v/>
      </c>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118"/>
      <c r="AM73" s="4"/>
      <c r="AN73" s="4"/>
      <c r="AO73" s="4"/>
      <c r="AP73" s="4"/>
      <c r="AQ73" s="135"/>
      <c r="AR73" s="4"/>
      <c r="AS73" s="4"/>
      <c r="AT73" s="4"/>
      <c r="AU73" s="4"/>
      <c r="AV73" s="4"/>
      <c r="AW73" s="4"/>
      <c r="AX73" s="4"/>
      <c r="AY73" s="4"/>
      <c r="AZ73" s="4"/>
      <c r="BA73" s="4"/>
      <c r="BB73" s="4"/>
      <c r="BC73" s="135"/>
      <c r="BD73" s="4"/>
      <c r="BE73" s="4"/>
      <c r="BF73" s="4"/>
      <c r="BG73" s="4"/>
      <c r="BH73" s="4"/>
      <c r="BI73" s="4"/>
      <c r="BJ73" s="4"/>
      <c r="BK73" s="4"/>
      <c r="BL73" s="4"/>
      <c r="BM73" s="4"/>
      <c r="BN73" s="4"/>
      <c r="BO73" s="135"/>
      <c r="BP73" s="135"/>
      <c r="BQ73" s="135"/>
      <c r="BR73" s="4"/>
      <c r="BS73" s="4"/>
      <c r="BT73" s="118"/>
      <c r="BU73" s="4"/>
      <c r="BV73" s="4"/>
      <c r="BW73" s="4"/>
      <c r="BX73" s="4"/>
      <c r="BY73" s="4"/>
      <c r="BZ73" s="4"/>
      <c r="CA73" s="118"/>
      <c r="CB73" s="4"/>
      <c r="CC73" s="4"/>
      <c r="CD73" s="4"/>
      <c r="CE73" s="135"/>
      <c r="CF73" s="135"/>
      <c r="CG73" s="135"/>
      <c r="CH73" s="135"/>
      <c r="CI73" s="135"/>
      <c r="CJ73" s="135"/>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118"/>
      <c r="DU73" s="4"/>
      <c r="DV73" s="4"/>
      <c r="DW73" s="4"/>
      <c r="DX73" s="4"/>
      <c r="DY73" s="4"/>
      <c r="DZ73" s="4"/>
      <c r="EA73" s="4"/>
      <c r="EB73" s="4"/>
      <c r="EC73" s="4"/>
    </row>
    <row r="74" spans="1:133" s="1" customFormat="1" ht="30" customHeight="1" thickBot="1" x14ac:dyDescent="0.35">
      <c r="A74" s="7"/>
      <c r="B74" s="18" t="s">
        <v>39</v>
      </c>
      <c r="C74" s="15" t="s">
        <v>246</v>
      </c>
      <c r="D74" s="35"/>
      <c r="E74" s="61">
        <v>46328</v>
      </c>
      <c r="F74" s="61">
        <v>46328</v>
      </c>
      <c r="G74" s="31">
        <f t="shared" si="56"/>
        <v>1</v>
      </c>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118"/>
      <c r="AM74" s="4"/>
      <c r="AN74" s="4"/>
      <c r="AO74" s="4"/>
      <c r="AP74" s="4"/>
      <c r="AQ74" s="135"/>
      <c r="AR74" s="4"/>
      <c r="AS74" s="4"/>
      <c r="AT74" s="4"/>
      <c r="AU74" s="4"/>
      <c r="AV74" s="4"/>
      <c r="AW74" s="4"/>
      <c r="AX74" s="4"/>
      <c r="AY74" s="4"/>
      <c r="AZ74" s="4"/>
      <c r="BA74" s="4"/>
      <c r="BB74" s="4"/>
      <c r="BC74" s="135"/>
      <c r="BD74" s="4"/>
      <c r="BE74" s="4"/>
      <c r="BF74" s="4"/>
      <c r="BG74" s="4"/>
      <c r="BH74" s="4"/>
      <c r="BI74" s="4"/>
      <c r="BJ74" s="4"/>
      <c r="BK74" s="4"/>
      <c r="BL74" s="4"/>
      <c r="BM74" s="4"/>
      <c r="BN74" s="4"/>
      <c r="BO74" s="135"/>
      <c r="BP74" s="135"/>
      <c r="BQ74" s="135"/>
      <c r="BR74" s="4"/>
      <c r="BS74" s="4"/>
      <c r="BT74" s="118"/>
      <c r="BU74" s="4"/>
      <c r="BV74" s="4"/>
      <c r="BW74" s="4"/>
      <c r="BX74" s="4"/>
      <c r="BY74" s="4"/>
      <c r="BZ74" s="4"/>
      <c r="CA74" s="118"/>
      <c r="CB74" s="4"/>
      <c r="CC74" s="4"/>
      <c r="CD74" s="4"/>
      <c r="CE74" s="135"/>
      <c r="CF74" s="135"/>
      <c r="CG74" s="135"/>
      <c r="CH74" s="135"/>
      <c r="CI74" s="135"/>
      <c r="CJ74" s="135"/>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118"/>
      <c r="DU74" s="4"/>
      <c r="DV74" s="4"/>
      <c r="DW74" s="4"/>
      <c r="DX74" s="4"/>
      <c r="DY74" s="4"/>
      <c r="DZ74" s="4"/>
      <c r="EA74" s="4"/>
      <c r="EB74" s="4"/>
      <c r="EC74" s="4"/>
    </row>
    <row r="75" spans="1:133" s="1" customFormat="1" ht="30" customHeight="1" thickBot="1" x14ac:dyDescent="0.35">
      <c r="A75" s="7"/>
      <c r="B75" s="18" t="s">
        <v>40</v>
      </c>
      <c r="C75" s="15" t="s">
        <v>246</v>
      </c>
      <c r="D75" s="35"/>
      <c r="E75" s="61">
        <v>46328</v>
      </c>
      <c r="F75" s="61">
        <v>46328</v>
      </c>
      <c r="G75" s="31">
        <f t="shared" si="56"/>
        <v>1</v>
      </c>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118"/>
      <c r="AM75" s="4"/>
      <c r="AN75" s="4"/>
      <c r="AO75" s="4"/>
      <c r="AP75" s="4"/>
      <c r="AQ75" s="135"/>
      <c r="AR75" s="4"/>
      <c r="AS75" s="4"/>
      <c r="AT75" s="4"/>
      <c r="AU75" s="4"/>
      <c r="AV75" s="4"/>
      <c r="AW75" s="4"/>
      <c r="AX75" s="4"/>
      <c r="AY75" s="4"/>
      <c r="AZ75" s="4"/>
      <c r="BA75" s="4"/>
      <c r="BB75" s="4"/>
      <c r="BC75" s="135"/>
      <c r="BD75" s="4"/>
      <c r="BE75" s="4"/>
      <c r="BF75" s="4"/>
      <c r="BG75" s="4"/>
      <c r="BH75" s="4"/>
      <c r="BI75" s="4"/>
      <c r="BJ75" s="4"/>
      <c r="BK75" s="4"/>
      <c r="BL75" s="4"/>
      <c r="BM75" s="4"/>
      <c r="BN75" s="4"/>
      <c r="BO75" s="135"/>
      <c r="BP75" s="135"/>
      <c r="BQ75" s="135"/>
      <c r="BR75" s="4"/>
      <c r="BS75" s="4"/>
      <c r="BT75" s="118"/>
      <c r="BU75" s="4"/>
      <c r="BV75" s="4"/>
      <c r="BW75" s="4"/>
      <c r="BX75" s="4"/>
      <c r="BY75" s="4"/>
      <c r="BZ75" s="4"/>
      <c r="CA75" s="118"/>
      <c r="CB75" s="4"/>
      <c r="CC75" s="4"/>
      <c r="CD75" s="4"/>
      <c r="CE75" s="135"/>
      <c r="CF75" s="135"/>
      <c r="CG75" s="135"/>
      <c r="CH75" s="135"/>
      <c r="CI75" s="135"/>
      <c r="CJ75" s="135"/>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118"/>
      <c r="DU75" s="4"/>
      <c r="DV75" s="4"/>
      <c r="DW75" s="4"/>
      <c r="DX75" s="4"/>
      <c r="DY75" s="4"/>
      <c r="DZ75" s="4"/>
      <c r="EA75" s="4"/>
      <c r="EB75" s="4"/>
      <c r="EC75" s="4"/>
    </row>
    <row r="76" spans="1:133" s="1" customFormat="1" ht="30" customHeight="1" thickBot="1" x14ac:dyDescent="0.35">
      <c r="A76" s="7"/>
      <c r="B76" s="18" t="s">
        <v>41</v>
      </c>
      <c r="C76" s="15" t="s">
        <v>246</v>
      </c>
      <c r="D76" s="35"/>
      <c r="E76" s="61">
        <v>46328</v>
      </c>
      <c r="F76" s="61">
        <v>46328</v>
      </c>
      <c r="G76" s="31">
        <f t="shared" si="56"/>
        <v>1</v>
      </c>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118"/>
      <c r="AM76" s="4"/>
      <c r="AN76" s="4"/>
      <c r="AO76" s="4"/>
      <c r="AP76" s="4"/>
      <c r="AQ76" s="135"/>
      <c r="AR76" s="4"/>
      <c r="AS76" s="4"/>
      <c r="AT76" s="4"/>
      <c r="AU76" s="4"/>
      <c r="AV76" s="4"/>
      <c r="AW76" s="4"/>
      <c r="AX76" s="4"/>
      <c r="AY76" s="4"/>
      <c r="AZ76" s="4"/>
      <c r="BA76" s="4"/>
      <c r="BB76" s="4"/>
      <c r="BC76" s="135"/>
      <c r="BD76" s="4"/>
      <c r="BE76" s="4"/>
      <c r="BF76" s="4"/>
      <c r="BG76" s="4"/>
      <c r="BH76" s="4"/>
      <c r="BI76" s="4"/>
      <c r="BJ76" s="4"/>
      <c r="BK76" s="4"/>
      <c r="BL76" s="4"/>
      <c r="BM76" s="4"/>
      <c r="BN76" s="4"/>
      <c r="BO76" s="135"/>
      <c r="BP76" s="135"/>
      <c r="BQ76" s="135"/>
      <c r="BR76" s="4"/>
      <c r="BS76" s="4"/>
      <c r="BT76" s="118"/>
      <c r="BU76" s="4"/>
      <c r="BV76" s="4"/>
      <c r="BW76" s="4"/>
      <c r="BX76" s="4"/>
      <c r="BY76" s="4"/>
      <c r="BZ76" s="4"/>
      <c r="CA76" s="118"/>
      <c r="CB76" s="4"/>
      <c r="CC76" s="4"/>
      <c r="CD76" s="4"/>
      <c r="CE76" s="135"/>
      <c r="CF76" s="135"/>
      <c r="CG76" s="135"/>
      <c r="CH76" s="135"/>
      <c r="CI76" s="135"/>
      <c r="CJ76" s="135"/>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118"/>
      <c r="DU76" s="4"/>
      <c r="DV76" s="4"/>
      <c r="DW76" s="4"/>
      <c r="DX76" s="4"/>
      <c r="DY76" s="4"/>
      <c r="DZ76" s="4"/>
      <c r="EA76" s="4"/>
      <c r="EB76" s="4"/>
      <c r="EC76" s="4"/>
    </row>
    <row r="77" spans="1:133" s="1" customFormat="1" ht="30" customHeight="1" thickBot="1" x14ac:dyDescent="0.35">
      <c r="A77" s="7"/>
      <c r="B77" s="18" t="s">
        <v>99</v>
      </c>
      <c r="C77" s="15" t="s">
        <v>246</v>
      </c>
      <c r="D77" s="35"/>
      <c r="E77" s="61">
        <v>46328</v>
      </c>
      <c r="F77" s="61">
        <v>46328</v>
      </c>
      <c r="G77" s="31">
        <f t="shared" si="56"/>
        <v>1</v>
      </c>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118"/>
      <c r="AM77" s="4"/>
      <c r="AN77" s="4"/>
      <c r="AO77" s="4"/>
      <c r="AP77" s="4"/>
      <c r="AQ77" s="135"/>
      <c r="AR77" s="4"/>
      <c r="AS77" s="4"/>
      <c r="AT77" s="4"/>
      <c r="AU77" s="4"/>
      <c r="AV77" s="4"/>
      <c r="AW77" s="4"/>
      <c r="AX77" s="4"/>
      <c r="AY77" s="4"/>
      <c r="AZ77" s="4"/>
      <c r="BA77" s="4"/>
      <c r="BB77" s="4"/>
      <c r="BC77" s="135"/>
      <c r="BD77" s="4"/>
      <c r="BE77" s="4"/>
      <c r="BF77" s="4"/>
      <c r="BG77" s="4"/>
      <c r="BH77" s="4"/>
      <c r="BI77" s="4"/>
      <c r="BJ77" s="4"/>
      <c r="BK77" s="4"/>
      <c r="BL77" s="4"/>
      <c r="BM77" s="4"/>
      <c r="BN77" s="4"/>
      <c r="BO77" s="135"/>
      <c r="BP77" s="135"/>
      <c r="BQ77" s="135"/>
      <c r="BR77" s="4"/>
      <c r="BS77" s="4"/>
      <c r="BT77" s="118"/>
      <c r="BU77" s="4"/>
      <c r="BV77" s="4"/>
      <c r="BW77" s="4"/>
      <c r="BX77" s="4"/>
      <c r="BY77" s="4"/>
      <c r="BZ77" s="4"/>
      <c r="CA77" s="118"/>
      <c r="CB77" s="4"/>
      <c r="CC77" s="4"/>
      <c r="CD77" s="4"/>
      <c r="CE77" s="135"/>
      <c r="CF77" s="135"/>
      <c r="CG77" s="135"/>
      <c r="CH77" s="135"/>
      <c r="CI77" s="135"/>
      <c r="CJ77" s="135"/>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118"/>
      <c r="DU77" s="4"/>
      <c r="DV77" s="4"/>
      <c r="DW77" s="4"/>
      <c r="DX77" s="4"/>
      <c r="DY77" s="4"/>
      <c r="DZ77" s="4"/>
      <c r="EA77" s="4"/>
      <c r="EB77" s="4"/>
      <c r="EC77" s="4"/>
    </row>
    <row r="78" spans="1:133" s="1" customFormat="1" ht="30" customHeight="1" thickBot="1" x14ac:dyDescent="0.35">
      <c r="A78" s="7"/>
      <c r="B78" s="18" t="s">
        <v>120</v>
      </c>
      <c r="C78" s="15" t="s">
        <v>246</v>
      </c>
      <c r="D78" s="35"/>
      <c r="E78" s="61">
        <v>46329</v>
      </c>
      <c r="F78" s="61">
        <v>46329</v>
      </c>
      <c r="G78" s="31">
        <f t="shared" si="56"/>
        <v>1</v>
      </c>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118"/>
      <c r="AM78" s="4"/>
      <c r="AN78" s="4"/>
      <c r="AO78" s="4"/>
      <c r="AP78" s="4"/>
      <c r="AQ78" s="135"/>
      <c r="AR78" s="4"/>
      <c r="AS78" s="4"/>
      <c r="AT78" s="4"/>
      <c r="AU78" s="4"/>
      <c r="AV78" s="4"/>
      <c r="AW78" s="4"/>
      <c r="AX78" s="4"/>
      <c r="AY78" s="4"/>
      <c r="AZ78" s="4"/>
      <c r="BA78" s="4"/>
      <c r="BB78" s="4"/>
      <c r="BC78" s="135"/>
      <c r="BD78" s="4"/>
      <c r="BE78" s="4"/>
      <c r="BF78" s="4"/>
      <c r="BG78" s="4"/>
      <c r="BH78" s="4"/>
      <c r="BI78" s="4"/>
      <c r="BJ78" s="4"/>
      <c r="BK78" s="4"/>
      <c r="BL78" s="4"/>
      <c r="BM78" s="4"/>
      <c r="BN78" s="4"/>
      <c r="BO78" s="135"/>
      <c r="BP78" s="135"/>
      <c r="BQ78" s="135"/>
      <c r="BR78" s="4"/>
      <c r="BS78" s="4"/>
      <c r="BT78" s="118"/>
      <c r="BU78" s="4"/>
      <c r="BV78" s="4"/>
      <c r="BW78" s="4"/>
      <c r="BX78" s="4"/>
      <c r="BY78" s="4"/>
      <c r="BZ78" s="4"/>
      <c r="CA78" s="118"/>
      <c r="CB78" s="4"/>
      <c r="CC78" s="4"/>
      <c r="CD78" s="4"/>
      <c r="CE78" s="135"/>
      <c r="CF78" s="135"/>
      <c r="CG78" s="135"/>
      <c r="CH78" s="135"/>
      <c r="CI78" s="135"/>
      <c r="CJ78" s="135"/>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118"/>
      <c r="DU78" s="4"/>
      <c r="DV78" s="4"/>
      <c r="DW78" s="4"/>
      <c r="DX78" s="4"/>
      <c r="DY78" s="4"/>
      <c r="DZ78" s="4"/>
      <c r="EA78" s="4"/>
      <c r="EB78" s="4"/>
      <c r="EC78" s="4"/>
    </row>
    <row r="79" spans="1:133" s="1" customFormat="1" ht="30" customHeight="1" thickBot="1" x14ac:dyDescent="0.35">
      <c r="A79" s="7"/>
      <c r="B79" s="18" t="s">
        <v>101</v>
      </c>
      <c r="C79" s="15" t="s">
        <v>246</v>
      </c>
      <c r="D79" s="35"/>
      <c r="E79" s="61">
        <v>46329</v>
      </c>
      <c r="F79" s="61">
        <v>46329</v>
      </c>
      <c r="G79" s="31">
        <f t="shared" si="56"/>
        <v>1</v>
      </c>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118"/>
      <c r="AM79" s="4"/>
      <c r="AN79" s="4"/>
      <c r="AO79" s="4"/>
      <c r="AP79" s="4"/>
      <c r="AQ79" s="135"/>
      <c r="AR79" s="4"/>
      <c r="AS79" s="4"/>
      <c r="AT79" s="4"/>
      <c r="AU79" s="4"/>
      <c r="AV79" s="4"/>
      <c r="AW79" s="4"/>
      <c r="AX79" s="4"/>
      <c r="AY79" s="4"/>
      <c r="AZ79" s="4"/>
      <c r="BA79" s="4"/>
      <c r="BB79" s="4"/>
      <c r="BC79" s="135"/>
      <c r="BD79" s="4"/>
      <c r="BE79" s="4"/>
      <c r="BF79" s="4"/>
      <c r="BG79" s="4"/>
      <c r="BH79" s="4"/>
      <c r="BI79" s="4"/>
      <c r="BJ79" s="4"/>
      <c r="BK79" s="4"/>
      <c r="BL79" s="4"/>
      <c r="BM79" s="4"/>
      <c r="BN79" s="4"/>
      <c r="BO79" s="135"/>
      <c r="BP79" s="135"/>
      <c r="BQ79" s="135"/>
      <c r="BR79" s="4"/>
      <c r="BS79" s="4"/>
      <c r="BT79" s="118"/>
      <c r="BU79" s="4"/>
      <c r="BV79" s="4"/>
      <c r="BW79" s="4"/>
      <c r="BX79" s="4"/>
      <c r="BY79" s="4"/>
      <c r="BZ79" s="4"/>
      <c r="CA79" s="118"/>
      <c r="CB79" s="4"/>
      <c r="CC79" s="4"/>
      <c r="CD79" s="4"/>
      <c r="CE79" s="135"/>
      <c r="CF79" s="135"/>
      <c r="CG79" s="135"/>
      <c r="CH79" s="135"/>
      <c r="CI79" s="135"/>
      <c r="CJ79" s="135"/>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118"/>
      <c r="DU79" s="4"/>
      <c r="DV79" s="4"/>
      <c r="DW79" s="4"/>
      <c r="DX79" s="4"/>
      <c r="DY79" s="4"/>
      <c r="DZ79" s="4"/>
      <c r="EA79" s="4"/>
      <c r="EB79" s="4"/>
      <c r="EC79" s="4"/>
    </row>
    <row r="80" spans="1:133" s="1" customFormat="1" ht="30" customHeight="1" thickBot="1" x14ac:dyDescent="0.35">
      <c r="A80" s="7"/>
      <c r="B80" s="18" t="s">
        <v>103</v>
      </c>
      <c r="C80" s="15" t="s">
        <v>246</v>
      </c>
      <c r="D80" s="35"/>
      <c r="E80" s="61">
        <v>46329</v>
      </c>
      <c r="F80" s="61">
        <v>46329</v>
      </c>
      <c r="G80" s="31">
        <f t="shared" si="56"/>
        <v>1</v>
      </c>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118"/>
      <c r="AM80" s="4"/>
      <c r="AN80" s="4"/>
      <c r="AO80" s="4"/>
      <c r="AP80" s="4"/>
      <c r="AQ80" s="135"/>
      <c r="AR80" s="4"/>
      <c r="AS80" s="4"/>
      <c r="AT80" s="4"/>
      <c r="AU80" s="4"/>
      <c r="AV80" s="4"/>
      <c r="AW80" s="4"/>
      <c r="AX80" s="4"/>
      <c r="AY80" s="4"/>
      <c r="AZ80" s="4"/>
      <c r="BA80" s="4"/>
      <c r="BB80" s="4"/>
      <c r="BC80" s="135"/>
      <c r="BD80" s="4"/>
      <c r="BE80" s="4"/>
      <c r="BF80" s="4"/>
      <c r="BG80" s="4"/>
      <c r="BH80" s="4"/>
      <c r="BI80" s="4"/>
      <c r="BJ80" s="4"/>
      <c r="BK80" s="4"/>
      <c r="BL80" s="4"/>
      <c r="BM80" s="4"/>
      <c r="BN80" s="4"/>
      <c r="BO80" s="135"/>
      <c r="BP80" s="135"/>
      <c r="BQ80" s="135"/>
      <c r="BR80" s="4"/>
      <c r="BS80" s="4"/>
      <c r="BT80" s="118"/>
      <c r="BU80" s="4"/>
      <c r="BV80" s="4"/>
      <c r="BW80" s="4"/>
      <c r="BX80" s="4"/>
      <c r="BY80" s="4"/>
      <c r="BZ80" s="4"/>
      <c r="CA80" s="118"/>
      <c r="CB80" s="4"/>
      <c r="CC80" s="4"/>
      <c r="CD80" s="4"/>
      <c r="CE80" s="135"/>
      <c r="CF80" s="135"/>
      <c r="CG80" s="135"/>
      <c r="CH80" s="135"/>
      <c r="CI80" s="135"/>
      <c r="CJ80" s="135"/>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118"/>
      <c r="DU80" s="4"/>
      <c r="DV80" s="4"/>
      <c r="DW80" s="4"/>
      <c r="DX80" s="4"/>
      <c r="DY80" s="4"/>
      <c r="DZ80" s="4"/>
      <c r="EA80" s="4"/>
      <c r="EB80" s="4"/>
      <c r="EC80" s="4"/>
    </row>
    <row r="81" spans="1:133" s="1" customFormat="1" ht="30" customHeight="1" thickBot="1" x14ac:dyDescent="0.35">
      <c r="A81" s="7"/>
      <c r="B81" s="18" t="s">
        <v>108</v>
      </c>
      <c r="C81" s="15" t="s">
        <v>246</v>
      </c>
      <c r="D81" s="35"/>
      <c r="E81" s="61">
        <v>46329</v>
      </c>
      <c r="F81" s="61">
        <v>46329</v>
      </c>
      <c r="G81" s="31">
        <f t="shared" si="56"/>
        <v>1</v>
      </c>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118"/>
      <c r="AM81" s="4"/>
      <c r="AN81" s="4"/>
      <c r="AO81" s="4"/>
      <c r="AP81" s="4"/>
      <c r="AQ81" s="135"/>
      <c r="AR81" s="4"/>
      <c r="AS81" s="4"/>
      <c r="AT81" s="4"/>
      <c r="AU81" s="4"/>
      <c r="AV81" s="4"/>
      <c r="AW81" s="4"/>
      <c r="AX81" s="4"/>
      <c r="AY81" s="4"/>
      <c r="AZ81" s="4"/>
      <c r="BA81" s="4"/>
      <c r="BB81" s="4"/>
      <c r="BC81" s="135"/>
      <c r="BD81" s="4"/>
      <c r="BE81" s="4"/>
      <c r="BF81" s="4"/>
      <c r="BG81" s="4"/>
      <c r="BH81" s="4"/>
      <c r="BI81" s="4"/>
      <c r="BJ81" s="4"/>
      <c r="BK81" s="4"/>
      <c r="BL81" s="4"/>
      <c r="BM81" s="4"/>
      <c r="BN81" s="4"/>
      <c r="BO81" s="135"/>
      <c r="BP81" s="135"/>
      <c r="BQ81" s="135"/>
      <c r="BR81" s="4"/>
      <c r="BS81" s="4"/>
      <c r="BT81" s="118"/>
      <c r="BU81" s="4"/>
      <c r="BV81" s="4"/>
      <c r="BW81" s="4"/>
      <c r="BX81" s="4"/>
      <c r="BY81" s="4"/>
      <c r="BZ81" s="4"/>
      <c r="CA81" s="118"/>
      <c r="CB81" s="4"/>
      <c r="CC81" s="4"/>
      <c r="CD81" s="4"/>
      <c r="CE81" s="135"/>
      <c r="CF81" s="135"/>
      <c r="CG81" s="135"/>
      <c r="CH81" s="135"/>
      <c r="CI81" s="135"/>
      <c r="CJ81" s="135"/>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118"/>
      <c r="DU81" s="4"/>
      <c r="DV81" s="4"/>
      <c r="DW81" s="4"/>
      <c r="DX81" s="4"/>
      <c r="DY81" s="4"/>
      <c r="DZ81" s="4"/>
      <c r="EA81" s="4"/>
      <c r="EB81" s="4"/>
      <c r="EC81" s="4"/>
    </row>
    <row r="82" spans="1:133" s="1" customFormat="1" ht="30" customHeight="1" thickBot="1" x14ac:dyDescent="0.35">
      <c r="A82" s="7"/>
      <c r="B82" s="18" t="s">
        <v>109</v>
      </c>
      <c r="C82" s="15" t="s">
        <v>246</v>
      </c>
      <c r="D82" s="35"/>
      <c r="E82" s="61">
        <v>46330</v>
      </c>
      <c r="F82" s="61">
        <v>46330</v>
      </c>
      <c r="G82" s="31">
        <f t="shared" si="56"/>
        <v>1</v>
      </c>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118"/>
      <c r="AM82" s="4"/>
      <c r="AN82" s="4"/>
      <c r="AO82" s="4"/>
      <c r="AP82" s="4"/>
      <c r="AQ82" s="135"/>
      <c r="AR82" s="4"/>
      <c r="AS82" s="4"/>
      <c r="AT82" s="4"/>
      <c r="AU82" s="4"/>
      <c r="AV82" s="4"/>
      <c r="AW82" s="4"/>
      <c r="AX82" s="4"/>
      <c r="AY82" s="4"/>
      <c r="AZ82" s="4"/>
      <c r="BA82" s="4"/>
      <c r="BB82" s="4"/>
      <c r="BC82" s="135"/>
      <c r="BD82" s="4"/>
      <c r="BE82" s="4"/>
      <c r="BF82" s="4"/>
      <c r="BG82" s="4"/>
      <c r="BH82" s="4"/>
      <c r="BI82" s="4"/>
      <c r="BJ82" s="4"/>
      <c r="BK82" s="4"/>
      <c r="BL82" s="4"/>
      <c r="BM82" s="4"/>
      <c r="BN82" s="4"/>
      <c r="BO82" s="135"/>
      <c r="BP82" s="135"/>
      <c r="BQ82" s="135"/>
      <c r="BR82" s="4"/>
      <c r="BS82" s="4"/>
      <c r="BT82" s="118"/>
      <c r="BU82" s="4"/>
      <c r="BV82" s="4"/>
      <c r="BW82" s="4"/>
      <c r="BX82" s="4"/>
      <c r="BY82" s="4"/>
      <c r="BZ82" s="4"/>
      <c r="CA82" s="118"/>
      <c r="CB82" s="4"/>
      <c r="CC82" s="4"/>
      <c r="CD82" s="4"/>
      <c r="CE82" s="135"/>
      <c r="CF82" s="135"/>
      <c r="CG82" s="135"/>
      <c r="CH82" s="135"/>
      <c r="CI82" s="135"/>
      <c r="CJ82" s="135"/>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118"/>
      <c r="DU82" s="4"/>
      <c r="DV82" s="4"/>
      <c r="DW82" s="4"/>
      <c r="DX82" s="4"/>
      <c r="DY82" s="4"/>
      <c r="DZ82" s="4"/>
      <c r="EA82" s="4"/>
      <c r="EB82" s="4"/>
      <c r="EC82" s="4"/>
    </row>
    <row r="83" spans="1:133" s="1" customFormat="1" ht="30" customHeight="1" thickBot="1" x14ac:dyDescent="0.35">
      <c r="A83" s="7"/>
      <c r="B83" s="18" t="s">
        <v>111</v>
      </c>
      <c r="C83" s="15" t="s">
        <v>246</v>
      </c>
      <c r="D83" s="35"/>
      <c r="E83" s="61">
        <v>46330</v>
      </c>
      <c r="F83" s="61">
        <v>46330</v>
      </c>
      <c r="G83" s="31">
        <f t="shared" si="56"/>
        <v>1</v>
      </c>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118"/>
      <c r="AM83" s="4"/>
      <c r="AN83" s="4"/>
      <c r="AO83" s="4"/>
      <c r="AP83" s="4"/>
      <c r="AQ83" s="135"/>
      <c r="AR83" s="4"/>
      <c r="AS83" s="4"/>
      <c r="AT83" s="4"/>
      <c r="AU83" s="4"/>
      <c r="AV83" s="4"/>
      <c r="AW83" s="4"/>
      <c r="AX83" s="4"/>
      <c r="AY83" s="4"/>
      <c r="AZ83" s="4"/>
      <c r="BA83" s="4"/>
      <c r="BB83" s="4"/>
      <c r="BC83" s="135"/>
      <c r="BD83" s="4"/>
      <c r="BE83" s="4"/>
      <c r="BF83" s="4"/>
      <c r="BG83" s="4"/>
      <c r="BH83" s="4"/>
      <c r="BI83" s="4"/>
      <c r="BJ83" s="4"/>
      <c r="BK83" s="4"/>
      <c r="BL83" s="4"/>
      <c r="BM83" s="4"/>
      <c r="BN83" s="4"/>
      <c r="BO83" s="135"/>
      <c r="BP83" s="135"/>
      <c r="BQ83" s="135"/>
      <c r="BR83" s="4"/>
      <c r="BS83" s="4"/>
      <c r="BT83" s="118"/>
      <c r="BU83" s="4"/>
      <c r="BV83" s="4"/>
      <c r="BW83" s="4"/>
      <c r="BX83" s="4"/>
      <c r="BY83" s="4"/>
      <c r="BZ83" s="4"/>
      <c r="CA83" s="118"/>
      <c r="CB83" s="4"/>
      <c r="CC83" s="4"/>
      <c r="CD83" s="4"/>
      <c r="CE83" s="135"/>
      <c r="CF83" s="135"/>
      <c r="CG83" s="135"/>
      <c r="CH83" s="135"/>
      <c r="CI83" s="135"/>
      <c r="CJ83" s="135"/>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118"/>
      <c r="DU83" s="4"/>
      <c r="DV83" s="4"/>
      <c r="DW83" s="4"/>
      <c r="DX83" s="4"/>
      <c r="DY83" s="4"/>
      <c r="DZ83" s="4"/>
      <c r="EA83" s="4"/>
      <c r="EB83" s="4"/>
      <c r="EC83" s="4"/>
    </row>
    <row r="84" spans="1:133" s="1" customFormat="1" ht="30" customHeight="1" thickBot="1" x14ac:dyDescent="0.35">
      <c r="A84" s="7"/>
      <c r="B84" s="18" t="s">
        <v>113</v>
      </c>
      <c r="C84" s="15" t="s">
        <v>246</v>
      </c>
      <c r="D84" s="35"/>
      <c r="E84" s="61">
        <v>46330</v>
      </c>
      <c r="F84" s="61">
        <v>46330</v>
      </c>
      <c r="G84" s="31">
        <f t="shared" si="56"/>
        <v>1</v>
      </c>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118"/>
      <c r="AM84" s="4"/>
      <c r="AN84" s="4"/>
      <c r="AO84" s="4"/>
      <c r="AP84" s="4"/>
      <c r="AQ84" s="135"/>
      <c r="AR84" s="4"/>
      <c r="AS84" s="4"/>
      <c r="AT84" s="4"/>
      <c r="AU84" s="4"/>
      <c r="AV84" s="4"/>
      <c r="AW84" s="4"/>
      <c r="AX84" s="4"/>
      <c r="AY84" s="4"/>
      <c r="AZ84" s="4"/>
      <c r="BA84" s="4"/>
      <c r="BB84" s="4"/>
      <c r="BC84" s="135"/>
      <c r="BD84" s="4"/>
      <c r="BE84" s="4"/>
      <c r="BF84" s="4"/>
      <c r="BG84" s="4"/>
      <c r="BH84" s="4"/>
      <c r="BI84" s="4"/>
      <c r="BJ84" s="4"/>
      <c r="BK84" s="4"/>
      <c r="BL84" s="4"/>
      <c r="BM84" s="4"/>
      <c r="BN84" s="4"/>
      <c r="BO84" s="135"/>
      <c r="BP84" s="135"/>
      <c r="BQ84" s="135"/>
      <c r="BR84" s="4"/>
      <c r="BS84" s="4"/>
      <c r="BT84" s="118"/>
      <c r="BU84" s="4"/>
      <c r="BV84" s="4"/>
      <c r="BW84" s="4"/>
      <c r="BX84" s="4"/>
      <c r="BY84" s="4"/>
      <c r="BZ84" s="4"/>
      <c r="CA84" s="118"/>
      <c r="CB84" s="4"/>
      <c r="CC84" s="4"/>
      <c r="CD84" s="4"/>
      <c r="CE84" s="135"/>
      <c r="CF84" s="135"/>
      <c r="CG84" s="135"/>
      <c r="CH84" s="135"/>
      <c r="CI84" s="135"/>
      <c r="CJ84" s="135"/>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118"/>
      <c r="DU84" s="4"/>
      <c r="DV84" s="4"/>
      <c r="DW84" s="4"/>
      <c r="DX84" s="4"/>
      <c r="DY84" s="4"/>
      <c r="DZ84" s="4"/>
      <c r="EA84" s="4"/>
      <c r="EB84" s="4"/>
      <c r="EC84" s="4"/>
    </row>
    <row r="85" spans="1:133" s="1" customFormat="1" ht="30" customHeight="1" thickBot="1" x14ac:dyDescent="0.35">
      <c r="A85" s="7"/>
      <c r="B85" s="18" t="s">
        <v>114</v>
      </c>
      <c r="C85" s="15" t="s">
        <v>246</v>
      </c>
      <c r="D85" s="35"/>
      <c r="E85" s="61">
        <v>46330</v>
      </c>
      <c r="F85" s="61">
        <v>46330</v>
      </c>
      <c r="G85" s="31">
        <f t="shared" si="56"/>
        <v>1</v>
      </c>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118"/>
      <c r="AM85" s="4"/>
      <c r="AN85" s="4"/>
      <c r="AO85" s="4"/>
      <c r="AP85" s="4"/>
      <c r="AQ85" s="135"/>
      <c r="AR85" s="4"/>
      <c r="AS85" s="4"/>
      <c r="AT85" s="4"/>
      <c r="AU85" s="4"/>
      <c r="AV85" s="4"/>
      <c r="AW85" s="4"/>
      <c r="AX85" s="4"/>
      <c r="AY85" s="4"/>
      <c r="AZ85" s="4"/>
      <c r="BA85" s="4"/>
      <c r="BB85" s="4"/>
      <c r="BC85" s="135"/>
      <c r="BD85" s="4"/>
      <c r="BE85" s="4"/>
      <c r="BF85" s="4"/>
      <c r="BG85" s="4"/>
      <c r="BH85" s="4"/>
      <c r="BI85" s="4"/>
      <c r="BJ85" s="4"/>
      <c r="BK85" s="4"/>
      <c r="BL85" s="4"/>
      <c r="BM85" s="4"/>
      <c r="BN85" s="4"/>
      <c r="BO85" s="135"/>
      <c r="BP85" s="135"/>
      <c r="BQ85" s="135"/>
      <c r="BR85" s="4"/>
      <c r="BS85" s="4"/>
      <c r="BT85" s="118"/>
      <c r="BU85" s="4"/>
      <c r="BV85" s="4"/>
      <c r="BW85" s="4"/>
      <c r="BX85" s="4"/>
      <c r="BY85" s="4"/>
      <c r="BZ85" s="4"/>
      <c r="CA85" s="118"/>
      <c r="CB85" s="4"/>
      <c r="CC85" s="4"/>
      <c r="CD85" s="4"/>
      <c r="CE85" s="135"/>
      <c r="CF85" s="135"/>
      <c r="CG85" s="135"/>
      <c r="CH85" s="135"/>
      <c r="CI85" s="135"/>
      <c r="CJ85" s="135"/>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118"/>
      <c r="DU85" s="4"/>
      <c r="DV85" s="4"/>
      <c r="DW85" s="4"/>
      <c r="DX85" s="4"/>
      <c r="DY85" s="4"/>
      <c r="DZ85" s="4"/>
      <c r="EA85" s="4"/>
      <c r="EB85" s="4"/>
      <c r="EC85" s="4"/>
    </row>
    <row r="86" spans="1:133" s="1" customFormat="1" ht="30" customHeight="1" thickBot="1" x14ac:dyDescent="0.35">
      <c r="A86" s="7" t="s">
        <v>11</v>
      </c>
      <c r="B86" s="33" t="s">
        <v>92</v>
      </c>
      <c r="C86" s="14"/>
      <c r="D86" s="34"/>
      <c r="E86" s="59"/>
      <c r="F86" s="60"/>
      <c r="G86" s="31" t="str">
        <f t="shared" si="56"/>
        <v/>
      </c>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118"/>
      <c r="AM86" s="4"/>
      <c r="AN86" s="4"/>
      <c r="AO86" s="4"/>
      <c r="AP86" s="4"/>
      <c r="AQ86" s="135"/>
      <c r="AR86" s="4"/>
      <c r="AS86" s="4"/>
      <c r="AT86" s="4"/>
      <c r="AU86" s="4"/>
      <c r="AV86" s="4"/>
      <c r="AW86" s="4"/>
      <c r="AX86" s="4"/>
      <c r="AY86" s="4"/>
      <c r="AZ86" s="4"/>
      <c r="BA86" s="4"/>
      <c r="BB86" s="4"/>
      <c r="BC86" s="135"/>
      <c r="BD86" s="4"/>
      <c r="BE86" s="4"/>
      <c r="BF86" s="4"/>
      <c r="BG86" s="4"/>
      <c r="BH86" s="4"/>
      <c r="BI86" s="4"/>
      <c r="BJ86" s="4"/>
      <c r="BK86" s="4"/>
      <c r="BL86" s="4"/>
      <c r="BM86" s="4"/>
      <c r="BN86" s="4"/>
      <c r="BO86" s="135"/>
      <c r="BP86" s="135"/>
      <c r="BQ86" s="135"/>
      <c r="BR86" s="4"/>
      <c r="BS86" s="4"/>
      <c r="BT86" s="118"/>
      <c r="BU86" s="4"/>
      <c r="BV86" s="4"/>
      <c r="BW86" s="4"/>
      <c r="BX86" s="4"/>
      <c r="BY86" s="4"/>
      <c r="BZ86" s="4"/>
      <c r="CA86" s="118"/>
      <c r="CB86" s="4"/>
      <c r="CC86" s="4"/>
      <c r="CD86" s="4"/>
      <c r="CE86" s="135"/>
      <c r="CF86" s="135"/>
      <c r="CG86" s="135"/>
      <c r="CH86" s="135"/>
      <c r="CI86" s="135"/>
      <c r="CJ86" s="135"/>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118"/>
      <c r="DU86" s="4"/>
      <c r="DV86" s="4"/>
      <c r="DW86" s="4"/>
      <c r="DX86" s="4"/>
      <c r="DY86" s="4"/>
      <c r="DZ86" s="4"/>
      <c r="EA86" s="4"/>
      <c r="EB86" s="4"/>
      <c r="EC86" s="4"/>
    </row>
    <row r="87" spans="1:133" s="1" customFormat="1" ht="30" customHeight="1" thickBot="1" x14ac:dyDescent="0.35">
      <c r="A87" s="7"/>
      <c r="B87" s="18" t="s">
        <v>39</v>
      </c>
      <c r="C87" s="15" t="s">
        <v>246</v>
      </c>
      <c r="D87" s="35"/>
      <c r="E87" s="61">
        <v>46331</v>
      </c>
      <c r="F87" s="61">
        <v>46331</v>
      </c>
      <c r="G87" s="31">
        <f t="shared" si="56"/>
        <v>1</v>
      </c>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118"/>
      <c r="AM87" s="4"/>
      <c r="AN87" s="4"/>
      <c r="AO87" s="4"/>
      <c r="AP87" s="4"/>
      <c r="AQ87" s="135"/>
      <c r="AR87" s="4"/>
      <c r="AS87" s="4"/>
      <c r="AT87" s="4"/>
      <c r="AU87" s="4"/>
      <c r="AV87" s="4"/>
      <c r="AW87" s="4"/>
      <c r="AX87" s="4"/>
      <c r="AY87" s="4"/>
      <c r="AZ87" s="4"/>
      <c r="BA87" s="4"/>
      <c r="BB87" s="4"/>
      <c r="BC87" s="135"/>
      <c r="BD87" s="4"/>
      <c r="BE87" s="4"/>
      <c r="BF87" s="4"/>
      <c r="BG87" s="4"/>
      <c r="BH87" s="4"/>
      <c r="BI87" s="4"/>
      <c r="BJ87" s="4"/>
      <c r="BK87" s="4"/>
      <c r="BL87" s="4"/>
      <c r="BM87" s="4"/>
      <c r="BN87" s="4"/>
      <c r="BO87" s="135"/>
      <c r="BP87" s="135"/>
      <c r="BQ87" s="135"/>
      <c r="BR87" s="4"/>
      <c r="BS87" s="4"/>
      <c r="BT87" s="118"/>
      <c r="BU87" s="4"/>
      <c r="BV87" s="4"/>
      <c r="BW87" s="4"/>
      <c r="BX87" s="4"/>
      <c r="BY87" s="4"/>
      <c r="BZ87" s="4"/>
      <c r="CA87" s="118"/>
      <c r="CB87" s="4"/>
      <c r="CC87" s="4"/>
      <c r="CD87" s="4"/>
      <c r="CE87" s="135"/>
      <c r="CF87" s="135"/>
      <c r="CG87" s="135"/>
      <c r="CH87" s="135"/>
      <c r="CI87" s="135"/>
      <c r="CJ87" s="135"/>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118"/>
      <c r="DU87" s="4"/>
      <c r="DV87" s="4"/>
      <c r="DW87" s="4"/>
      <c r="DX87" s="4"/>
      <c r="DY87" s="4"/>
      <c r="DZ87" s="4"/>
      <c r="EA87" s="4"/>
      <c r="EB87" s="4"/>
      <c r="EC87" s="4"/>
    </row>
    <row r="88" spans="1:133" s="1" customFormat="1" ht="30" customHeight="1" thickBot="1" x14ac:dyDescent="0.35">
      <c r="A88" s="7"/>
      <c r="B88" s="18" t="s">
        <v>40</v>
      </c>
      <c r="C88" s="15" t="s">
        <v>246</v>
      </c>
      <c r="D88" s="35"/>
      <c r="E88" s="61">
        <v>46331</v>
      </c>
      <c r="F88" s="61">
        <v>46331</v>
      </c>
      <c r="G88" s="31">
        <f t="shared" si="56"/>
        <v>1</v>
      </c>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118"/>
      <c r="AM88" s="4"/>
      <c r="AN88" s="4"/>
      <c r="AO88" s="4"/>
      <c r="AP88" s="4"/>
      <c r="AQ88" s="135"/>
      <c r="AR88" s="4"/>
      <c r="AS88" s="4"/>
      <c r="AT88" s="4"/>
      <c r="AU88" s="4"/>
      <c r="AV88" s="4"/>
      <c r="AW88" s="4"/>
      <c r="AX88" s="4"/>
      <c r="AY88" s="4"/>
      <c r="AZ88" s="4"/>
      <c r="BA88" s="4"/>
      <c r="BB88" s="4"/>
      <c r="BC88" s="135"/>
      <c r="BD88" s="4"/>
      <c r="BE88" s="4"/>
      <c r="BF88" s="4"/>
      <c r="BG88" s="4"/>
      <c r="BH88" s="4"/>
      <c r="BI88" s="4"/>
      <c r="BJ88" s="4"/>
      <c r="BK88" s="4"/>
      <c r="BL88" s="4"/>
      <c r="BM88" s="4"/>
      <c r="BN88" s="4"/>
      <c r="BO88" s="135"/>
      <c r="BP88" s="135"/>
      <c r="BQ88" s="135"/>
      <c r="BR88" s="4"/>
      <c r="BS88" s="4"/>
      <c r="BT88" s="118"/>
      <c r="BU88" s="4"/>
      <c r="BV88" s="4"/>
      <c r="BW88" s="4"/>
      <c r="BX88" s="4"/>
      <c r="BY88" s="4"/>
      <c r="BZ88" s="4"/>
      <c r="CA88" s="118"/>
      <c r="CB88" s="4"/>
      <c r="CC88" s="4"/>
      <c r="CD88" s="4"/>
      <c r="CE88" s="135"/>
      <c r="CF88" s="135"/>
      <c r="CG88" s="135"/>
      <c r="CH88" s="135"/>
      <c r="CI88" s="135"/>
      <c r="CJ88" s="135"/>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118"/>
      <c r="DU88" s="4"/>
      <c r="DV88" s="4"/>
      <c r="DW88" s="4"/>
      <c r="DX88" s="4"/>
      <c r="DY88" s="4"/>
      <c r="DZ88" s="4"/>
      <c r="EA88" s="4"/>
      <c r="EB88" s="4"/>
      <c r="EC88" s="4"/>
    </row>
    <row r="89" spans="1:133" s="1" customFormat="1" ht="30" customHeight="1" thickBot="1" x14ac:dyDescent="0.35">
      <c r="A89" s="7"/>
      <c r="B89" s="18" t="s">
        <v>41</v>
      </c>
      <c r="C89" s="15" t="s">
        <v>246</v>
      </c>
      <c r="D89" s="35"/>
      <c r="E89" s="61">
        <v>46331</v>
      </c>
      <c r="F89" s="61">
        <v>46331</v>
      </c>
      <c r="G89" s="31">
        <f t="shared" si="56"/>
        <v>1</v>
      </c>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118"/>
      <c r="AM89" s="4"/>
      <c r="AN89" s="4"/>
      <c r="AO89" s="4"/>
      <c r="AP89" s="4"/>
      <c r="AQ89" s="135"/>
      <c r="AR89" s="4"/>
      <c r="AS89" s="4"/>
      <c r="AT89" s="4"/>
      <c r="AU89" s="4"/>
      <c r="AV89" s="4"/>
      <c r="AW89" s="4"/>
      <c r="AX89" s="4"/>
      <c r="AY89" s="4"/>
      <c r="AZ89" s="4"/>
      <c r="BA89" s="4"/>
      <c r="BB89" s="4"/>
      <c r="BC89" s="135"/>
      <c r="BD89" s="4"/>
      <c r="BE89" s="4"/>
      <c r="BF89" s="4"/>
      <c r="BG89" s="4"/>
      <c r="BH89" s="4"/>
      <c r="BI89" s="4"/>
      <c r="BJ89" s="4"/>
      <c r="BK89" s="4"/>
      <c r="BL89" s="4"/>
      <c r="BM89" s="4"/>
      <c r="BN89" s="4"/>
      <c r="BO89" s="135"/>
      <c r="BP89" s="135"/>
      <c r="BQ89" s="135"/>
      <c r="BR89" s="4"/>
      <c r="BS89" s="4"/>
      <c r="BT89" s="118"/>
      <c r="BU89" s="4"/>
      <c r="BV89" s="4"/>
      <c r="BW89" s="4"/>
      <c r="BX89" s="4"/>
      <c r="BY89" s="4"/>
      <c r="BZ89" s="4"/>
      <c r="CA89" s="118"/>
      <c r="CB89" s="4"/>
      <c r="CC89" s="4"/>
      <c r="CD89" s="4"/>
      <c r="CE89" s="135"/>
      <c r="CF89" s="135"/>
      <c r="CG89" s="135"/>
      <c r="CH89" s="135"/>
      <c r="CI89" s="135"/>
      <c r="CJ89" s="135"/>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118"/>
      <c r="DU89" s="4"/>
      <c r="DV89" s="4"/>
      <c r="DW89" s="4"/>
      <c r="DX89" s="4"/>
      <c r="DY89" s="4"/>
      <c r="DZ89" s="4"/>
      <c r="EA89" s="4"/>
      <c r="EB89" s="4"/>
      <c r="EC89" s="4"/>
    </row>
    <row r="90" spans="1:133" s="1" customFormat="1" ht="30" customHeight="1" thickBot="1" x14ac:dyDescent="0.35">
      <c r="A90" s="7"/>
      <c r="B90" s="18" t="s">
        <v>99</v>
      </c>
      <c r="C90" s="15" t="s">
        <v>246</v>
      </c>
      <c r="D90" s="35"/>
      <c r="E90" s="61">
        <v>46331</v>
      </c>
      <c r="F90" s="61">
        <v>46331</v>
      </c>
      <c r="G90" s="31">
        <f t="shared" si="56"/>
        <v>1</v>
      </c>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118"/>
      <c r="AM90" s="4"/>
      <c r="AN90" s="4"/>
      <c r="AO90" s="4"/>
      <c r="AP90" s="4"/>
      <c r="AQ90" s="135"/>
      <c r="AR90" s="4"/>
      <c r="AS90" s="4"/>
      <c r="AT90" s="4"/>
      <c r="AU90" s="4"/>
      <c r="AV90" s="4"/>
      <c r="AW90" s="4"/>
      <c r="AX90" s="4"/>
      <c r="AY90" s="4"/>
      <c r="AZ90" s="4"/>
      <c r="BA90" s="4"/>
      <c r="BB90" s="4"/>
      <c r="BC90" s="135"/>
      <c r="BD90" s="4"/>
      <c r="BE90" s="4"/>
      <c r="BF90" s="4"/>
      <c r="BG90" s="4"/>
      <c r="BH90" s="4"/>
      <c r="BI90" s="4"/>
      <c r="BJ90" s="4"/>
      <c r="BK90" s="4"/>
      <c r="BL90" s="4"/>
      <c r="BM90" s="4"/>
      <c r="BN90" s="4"/>
      <c r="BO90" s="135"/>
      <c r="BP90" s="135"/>
      <c r="BQ90" s="135"/>
      <c r="BR90" s="4"/>
      <c r="BS90" s="4"/>
      <c r="BT90" s="118"/>
      <c r="BU90" s="4"/>
      <c r="BV90" s="4"/>
      <c r="BW90" s="4"/>
      <c r="BX90" s="4"/>
      <c r="BY90" s="4"/>
      <c r="BZ90" s="4"/>
      <c r="CA90" s="118"/>
      <c r="CB90" s="4"/>
      <c r="CC90" s="4"/>
      <c r="CD90" s="4"/>
      <c r="CE90" s="135"/>
      <c r="CF90" s="135"/>
      <c r="CG90" s="135"/>
      <c r="CH90" s="135"/>
      <c r="CI90" s="135"/>
      <c r="CJ90" s="135"/>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118"/>
      <c r="DU90" s="4"/>
      <c r="DV90" s="4"/>
      <c r="DW90" s="4"/>
      <c r="DX90" s="4"/>
      <c r="DY90" s="4"/>
      <c r="DZ90" s="4"/>
      <c r="EA90" s="4"/>
      <c r="EB90" s="4"/>
      <c r="EC90" s="4"/>
    </row>
    <row r="91" spans="1:133" s="1" customFormat="1" ht="30" customHeight="1" thickBot="1" x14ac:dyDescent="0.35">
      <c r="A91" s="7"/>
      <c r="B91" s="18" t="s">
        <v>120</v>
      </c>
      <c r="C91" s="15" t="s">
        <v>246</v>
      </c>
      <c r="D91" s="35"/>
      <c r="E91" s="61">
        <v>46332</v>
      </c>
      <c r="F91" s="61">
        <v>46332</v>
      </c>
      <c r="G91" s="31">
        <f t="shared" si="56"/>
        <v>1</v>
      </c>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118"/>
      <c r="AM91" s="4"/>
      <c r="AN91" s="4"/>
      <c r="AO91" s="4"/>
      <c r="AP91" s="4"/>
      <c r="AQ91" s="135"/>
      <c r="AR91" s="4"/>
      <c r="AS91" s="4"/>
      <c r="AT91" s="4"/>
      <c r="AU91" s="4"/>
      <c r="AV91" s="4"/>
      <c r="AW91" s="4"/>
      <c r="AX91" s="4"/>
      <c r="AY91" s="4"/>
      <c r="AZ91" s="4"/>
      <c r="BA91" s="4"/>
      <c r="BB91" s="4"/>
      <c r="BC91" s="135"/>
      <c r="BD91" s="4"/>
      <c r="BE91" s="4"/>
      <c r="BF91" s="4"/>
      <c r="BG91" s="4"/>
      <c r="BH91" s="4"/>
      <c r="BI91" s="4"/>
      <c r="BJ91" s="4"/>
      <c r="BK91" s="4"/>
      <c r="BL91" s="4"/>
      <c r="BM91" s="4"/>
      <c r="BN91" s="4"/>
      <c r="BO91" s="135"/>
      <c r="BP91" s="135"/>
      <c r="BQ91" s="135"/>
      <c r="BR91" s="4"/>
      <c r="BS91" s="4"/>
      <c r="BT91" s="118"/>
      <c r="BU91" s="4"/>
      <c r="BV91" s="4"/>
      <c r="BW91" s="4"/>
      <c r="BX91" s="4"/>
      <c r="BY91" s="4"/>
      <c r="BZ91" s="4"/>
      <c r="CA91" s="118"/>
      <c r="CB91" s="4"/>
      <c r="CC91" s="4"/>
      <c r="CD91" s="4"/>
      <c r="CE91" s="135"/>
      <c r="CF91" s="135"/>
      <c r="CG91" s="135"/>
      <c r="CH91" s="135"/>
      <c r="CI91" s="135"/>
      <c r="CJ91" s="135"/>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118"/>
      <c r="DU91" s="4"/>
      <c r="DV91" s="4"/>
      <c r="DW91" s="4"/>
      <c r="DX91" s="4"/>
      <c r="DY91" s="4"/>
      <c r="DZ91" s="4"/>
      <c r="EA91" s="4"/>
      <c r="EB91" s="4"/>
      <c r="EC91" s="4"/>
    </row>
    <row r="92" spans="1:133" s="1" customFormat="1" ht="30" customHeight="1" thickBot="1" x14ac:dyDescent="0.35">
      <c r="A92" s="7"/>
      <c r="B92" s="18" t="s">
        <v>101</v>
      </c>
      <c r="C92" s="15" t="s">
        <v>246</v>
      </c>
      <c r="D92" s="35"/>
      <c r="E92" s="61">
        <v>46332</v>
      </c>
      <c r="F92" s="61">
        <v>46332</v>
      </c>
      <c r="G92" s="31">
        <f t="shared" si="56"/>
        <v>1</v>
      </c>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118"/>
      <c r="AM92" s="4"/>
      <c r="AN92" s="4"/>
      <c r="AO92" s="4"/>
      <c r="AP92" s="4"/>
      <c r="AQ92" s="135"/>
      <c r="AR92" s="4"/>
      <c r="AS92" s="4"/>
      <c r="AT92" s="4"/>
      <c r="AU92" s="4"/>
      <c r="AV92" s="4"/>
      <c r="AW92" s="4"/>
      <c r="AX92" s="4"/>
      <c r="AY92" s="4"/>
      <c r="AZ92" s="4"/>
      <c r="BA92" s="4"/>
      <c r="BB92" s="4"/>
      <c r="BC92" s="135"/>
      <c r="BD92" s="4"/>
      <c r="BE92" s="4"/>
      <c r="BF92" s="4"/>
      <c r="BG92" s="4"/>
      <c r="BH92" s="4"/>
      <c r="BI92" s="4"/>
      <c r="BJ92" s="4"/>
      <c r="BK92" s="4"/>
      <c r="BL92" s="4"/>
      <c r="BM92" s="4"/>
      <c r="BN92" s="4"/>
      <c r="BO92" s="135"/>
      <c r="BP92" s="135"/>
      <c r="BQ92" s="135"/>
      <c r="BR92" s="4"/>
      <c r="BS92" s="4"/>
      <c r="BT92" s="118"/>
      <c r="BU92" s="4"/>
      <c r="BV92" s="4"/>
      <c r="BW92" s="4"/>
      <c r="BX92" s="4"/>
      <c r="BY92" s="4"/>
      <c r="BZ92" s="4"/>
      <c r="CA92" s="118"/>
      <c r="CB92" s="4"/>
      <c r="CC92" s="4"/>
      <c r="CD92" s="4"/>
      <c r="CE92" s="135"/>
      <c r="CF92" s="135"/>
      <c r="CG92" s="135"/>
      <c r="CH92" s="135"/>
      <c r="CI92" s="135"/>
      <c r="CJ92" s="135"/>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118"/>
      <c r="DU92" s="4"/>
      <c r="DV92" s="4"/>
      <c r="DW92" s="4"/>
      <c r="DX92" s="4"/>
      <c r="DY92" s="4"/>
      <c r="DZ92" s="4"/>
      <c r="EA92" s="4"/>
      <c r="EB92" s="4"/>
      <c r="EC92" s="4"/>
    </row>
    <row r="93" spans="1:133" s="1" customFormat="1" ht="30" customHeight="1" thickBot="1" x14ac:dyDescent="0.35">
      <c r="A93" s="7"/>
      <c r="B93" s="18" t="s">
        <v>103</v>
      </c>
      <c r="C93" s="15" t="s">
        <v>246</v>
      </c>
      <c r="D93" s="35"/>
      <c r="E93" s="61">
        <v>46332</v>
      </c>
      <c r="F93" s="61">
        <v>46332</v>
      </c>
      <c r="G93" s="31">
        <f t="shared" si="56"/>
        <v>1</v>
      </c>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118"/>
      <c r="AM93" s="4"/>
      <c r="AN93" s="4"/>
      <c r="AO93" s="4"/>
      <c r="AP93" s="4"/>
      <c r="AQ93" s="135"/>
      <c r="AR93" s="4"/>
      <c r="AS93" s="4"/>
      <c r="AT93" s="4"/>
      <c r="AU93" s="4"/>
      <c r="AV93" s="4"/>
      <c r="AW93" s="4"/>
      <c r="AX93" s="4"/>
      <c r="AY93" s="4"/>
      <c r="AZ93" s="4"/>
      <c r="BA93" s="4"/>
      <c r="BB93" s="4"/>
      <c r="BC93" s="135"/>
      <c r="BD93" s="4"/>
      <c r="BE93" s="4"/>
      <c r="BF93" s="4"/>
      <c r="BG93" s="4"/>
      <c r="BH93" s="4"/>
      <c r="BI93" s="4"/>
      <c r="BJ93" s="4"/>
      <c r="BK93" s="4"/>
      <c r="BL93" s="4"/>
      <c r="BM93" s="4"/>
      <c r="BN93" s="4"/>
      <c r="BO93" s="135"/>
      <c r="BP93" s="135"/>
      <c r="BQ93" s="135"/>
      <c r="BR93" s="4"/>
      <c r="BS93" s="4"/>
      <c r="BT93" s="118"/>
      <c r="BU93" s="4"/>
      <c r="BV93" s="4"/>
      <c r="BW93" s="4"/>
      <c r="BX93" s="4"/>
      <c r="BY93" s="4"/>
      <c r="BZ93" s="4"/>
      <c r="CA93" s="118"/>
      <c r="CB93" s="4"/>
      <c r="CC93" s="4"/>
      <c r="CD93" s="4"/>
      <c r="CE93" s="135"/>
      <c r="CF93" s="135"/>
      <c r="CG93" s="135"/>
      <c r="CH93" s="135"/>
      <c r="CI93" s="135"/>
      <c r="CJ93" s="135"/>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118"/>
      <c r="DU93" s="4"/>
      <c r="DV93" s="4"/>
      <c r="DW93" s="4"/>
      <c r="DX93" s="4"/>
      <c r="DY93" s="4"/>
      <c r="DZ93" s="4"/>
      <c r="EA93" s="4"/>
      <c r="EB93" s="4"/>
      <c r="EC93" s="4"/>
    </row>
    <row r="94" spans="1:133" s="1" customFormat="1" ht="30" customHeight="1" thickBot="1" x14ac:dyDescent="0.35">
      <c r="A94" s="7"/>
      <c r="B94" s="18" t="s">
        <v>108</v>
      </c>
      <c r="C94" s="15" t="s">
        <v>246</v>
      </c>
      <c r="D94" s="35"/>
      <c r="E94" s="61">
        <v>46333</v>
      </c>
      <c r="F94" s="61">
        <v>46333</v>
      </c>
      <c r="G94" s="31">
        <f t="shared" si="56"/>
        <v>1</v>
      </c>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118"/>
      <c r="AM94" s="4"/>
      <c r="AN94" s="4"/>
      <c r="AO94" s="4"/>
      <c r="AP94" s="4"/>
      <c r="AQ94" s="135"/>
      <c r="AR94" s="4"/>
      <c r="AS94" s="4"/>
      <c r="AT94" s="4"/>
      <c r="AU94" s="4"/>
      <c r="AV94" s="4"/>
      <c r="AW94" s="4"/>
      <c r="AX94" s="4"/>
      <c r="AY94" s="4"/>
      <c r="AZ94" s="4"/>
      <c r="BA94" s="4"/>
      <c r="BB94" s="4"/>
      <c r="BC94" s="135"/>
      <c r="BD94" s="4"/>
      <c r="BE94" s="4"/>
      <c r="BF94" s="4"/>
      <c r="BG94" s="4"/>
      <c r="BH94" s="4"/>
      <c r="BI94" s="4"/>
      <c r="BJ94" s="4"/>
      <c r="BK94" s="4"/>
      <c r="BL94" s="4"/>
      <c r="BM94" s="4"/>
      <c r="BN94" s="4"/>
      <c r="BO94" s="135"/>
      <c r="BP94" s="135"/>
      <c r="BQ94" s="135"/>
      <c r="BR94" s="4"/>
      <c r="BS94" s="4"/>
      <c r="BT94" s="118"/>
      <c r="BU94" s="4"/>
      <c r="BV94" s="4"/>
      <c r="BW94" s="4"/>
      <c r="BX94" s="4"/>
      <c r="BY94" s="4"/>
      <c r="BZ94" s="4"/>
      <c r="CA94" s="118"/>
      <c r="CB94" s="4"/>
      <c r="CC94" s="4"/>
      <c r="CD94" s="4"/>
      <c r="CE94" s="135"/>
      <c r="CF94" s="135"/>
      <c r="CG94" s="135"/>
      <c r="CH94" s="135"/>
      <c r="CI94" s="135"/>
      <c r="CJ94" s="135"/>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118"/>
      <c r="DU94" s="4"/>
      <c r="DV94" s="4"/>
      <c r="DW94" s="4"/>
      <c r="DX94" s="4"/>
      <c r="DY94" s="4"/>
      <c r="DZ94" s="4"/>
      <c r="EA94" s="4"/>
      <c r="EB94" s="4"/>
      <c r="EC94" s="4"/>
    </row>
    <row r="95" spans="1:133" s="1" customFormat="1" ht="30" customHeight="1" thickBot="1" x14ac:dyDescent="0.35">
      <c r="A95" s="7"/>
      <c r="B95" s="18" t="s">
        <v>111</v>
      </c>
      <c r="C95" s="15" t="s">
        <v>246</v>
      </c>
      <c r="D95" s="35"/>
      <c r="E95" s="61">
        <v>46333</v>
      </c>
      <c r="F95" s="61">
        <v>46333</v>
      </c>
      <c r="G95" s="31">
        <f t="shared" si="56"/>
        <v>1</v>
      </c>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118"/>
      <c r="AM95" s="4"/>
      <c r="AN95" s="4"/>
      <c r="AO95" s="4"/>
      <c r="AP95" s="4"/>
      <c r="AQ95" s="135"/>
      <c r="AR95" s="4"/>
      <c r="AS95" s="4"/>
      <c r="AT95" s="4"/>
      <c r="AU95" s="4"/>
      <c r="AV95" s="4"/>
      <c r="AW95" s="4"/>
      <c r="AX95" s="4"/>
      <c r="AY95" s="4"/>
      <c r="AZ95" s="4"/>
      <c r="BA95" s="4"/>
      <c r="BB95" s="4"/>
      <c r="BC95" s="135"/>
      <c r="BD95" s="4"/>
      <c r="BE95" s="4"/>
      <c r="BF95" s="4"/>
      <c r="BG95" s="4"/>
      <c r="BH95" s="4"/>
      <c r="BI95" s="4"/>
      <c r="BJ95" s="4"/>
      <c r="BK95" s="4"/>
      <c r="BL95" s="4"/>
      <c r="BM95" s="4"/>
      <c r="BN95" s="4"/>
      <c r="BO95" s="135"/>
      <c r="BP95" s="135"/>
      <c r="BQ95" s="135"/>
      <c r="BR95" s="4"/>
      <c r="BS95" s="4"/>
      <c r="BT95" s="118"/>
      <c r="BU95" s="4"/>
      <c r="BV95" s="4"/>
      <c r="BW95" s="4"/>
      <c r="BX95" s="4"/>
      <c r="BY95" s="4"/>
      <c r="BZ95" s="4"/>
      <c r="CA95" s="118"/>
      <c r="CB95" s="4"/>
      <c r="CC95" s="4"/>
      <c r="CD95" s="4"/>
      <c r="CE95" s="135"/>
      <c r="CF95" s="135"/>
      <c r="CG95" s="135"/>
      <c r="CH95" s="135"/>
      <c r="CI95" s="135"/>
      <c r="CJ95" s="135"/>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118"/>
      <c r="DU95" s="4"/>
      <c r="DV95" s="4"/>
      <c r="DW95" s="4"/>
      <c r="DX95" s="4"/>
      <c r="DY95" s="4"/>
      <c r="DZ95" s="4"/>
      <c r="EA95" s="4"/>
      <c r="EB95" s="4"/>
      <c r="EC95" s="4"/>
    </row>
    <row r="96" spans="1:133" s="1" customFormat="1" ht="30" customHeight="1" thickBot="1" x14ac:dyDescent="0.35">
      <c r="A96" s="7"/>
      <c r="B96" s="18" t="s">
        <v>115</v>
      </c>
      <c r="C96" s="15" t="s">
        <v>246</v>
      </c>
      <c r="D96" s="35"/>
      <c r="E96" s="61">
        <v>46333</v>
      </c>
      <c r="F96" s="61">
        <v>46333</v>
      </c>
      <c r="G96" s="31">
        <f t="shared" si="56"/>
        <v>1</v>
      </c>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118"/>
      <c r="AM96" s="4"/>
      <c r="AN96" s="4"/>
      <c r="AO96" s="4"/>
      <c r="AP96" s="4"/>
      <c r="AQ96" s="135"/>
      <c r="AR96" s="4"/>
      <c r="AS96" s="4"/>
      <c r="AT96" s="4"/>
      <c r="AU96" s="4"/>
      <c r="AV96" s="4"/>
      <c r="AW96" s="4"/>
      <c r="AX96" s="4"/>
      <c r="AY96" s="4"/>
      <c r="AZ96" s="4"/>
      <c r="BA96" s="4"/>
      <c r="BB96" s="4"/>
      <c r="BC96" s="135"/>
      <c r="BD96" s="4"/>
      <c r="BE96" s="4"/>
      <c r="BF96" s="4"/>
      <c r="BG96" s="4"/>
      <c r="BH96" s="4"/>
      <c r="BI96" s="4"/>
      <c r="BJ96" s="4"/>
      <c r="BK96" s="4"/>
      <c r="BL96" s="4"/>
      <c r="BM96" s="4"/>
      <c r="BN96" s="4"/>
      <c r="BO96" s="135"/>
      <c r="BP96" s="135"/>
      <c r="BQ96" s="135"/>
      <c r="BR96" s="4"/>
      <c r="BS96" s="4"/>
      <c r="BT96" s="118"/>
      <c r="BU96" s="4"/>
      <c r="BV96" s="4"/>
      <c r="BW96" s="4"/>
      <c r="BX96" s="4"/>
      <c r="BY96" s="4"/>
      <c r="BZ96" s="4"/>
      <c r="CA96" s="118"/>
      <c r="CB96" s="4"/>
      <c r="CC96" s="4"/>
      <c r="CD96" s="4"/>
      <c r="CE96" s="135"/>
      <c r="CF96" s="135"/>
      <c r="CG96" s="135"/>
      <c r="CH96" s="135"/>
      <c r="CI96" s="135"/>
      <c r="CJ96" s="135"/>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118"/>
      <c r="DU96" s="4"/>
      <c r="DV96" s="4"/>
      <c r="DW96" s="4"/>
      <c r="DX96" s="4"/>
      <c r="DY96" s="4"/>
      <c r="DZ96" s="4"/>
      <c r="EA96" s="4"/>
      <c r="EB96" s="4"/>
      <c r="EC96" s="4"/>
    </row>
    <row r="97" spans="1:133" s="1" customFormat="1" ht="30" customHeight="1" thickBot="1" x14ac:dyDescent="0.35">
      <c r="A97" s="7"/>
      <c r="B97" s="18" t="s">
        <v>116</v>
      </c>
      <c r="C97" s="15" t="s">
        <v>246</v>
      </c>
      <c r="D97" s="35"/>
      <c r="E97" s="61">
        <v>46333</v>
      </c>
      <c r="F97" s="61">
        <v>46333</v>
      </c>
      <c r="G97" s="31">
        <f t="shared" si="56"/>
        <v>1</v>
      </c>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118"/>
      <c r="AM97" s="4"/>
      <c r="AN97" s="4"/>
      <c r="AO97" s="4"/>
      <c r="AP97" s="4"/>
      <c r="AQ97" s="135"/>
      <c r="AR97" s="4"/>
      <c r="AS97" s="4"/>
      <c r="AT97" s="4"/>
      <c r="AU97" s="4"/>
      <c r="AV97" s="4"/>
      <c r="AW97" s="4"/>
      <c r="AX97" s="4"/>
      <c r="AY97" s="4"/>
      <c r="AZ97" s="4"/>
      <c r="BA97" s="4"/>
      <c r="BB97" s="4"/>
      <c r="BC97" s="135"/>
      <c r="BD97" s="4"/>
      <c r="BE97" s="4"/>
      <c r="BF97" s="4"/>
      <c r="BG97" s="4"/>
      <c r="BH97" s="4"/>
      <c r="BI97" s="4"/>
      <c r="BJ97" s="4"/>
      <c r="BK97" s="4"/>
      <c r="BL97" s="4"/>
      <c r="BM97" s="4"/>
      <c r="BN97" s="4"/>
      <c r="BO97" s="135"/>
      <c r="BP97" s="135"/>
      <c r="BQ97" s="135"/>
      <c r="BR97" s="4"/>
      <c r="BS97" s="4"/>
      <c r="BT97" s="118"/>
      <c r="BU97" s="4"/>
      <c r="BV97" s="4"/>
      <c r="BW97" s="4"/>
      <c r="BX97" s="4"/>
      <c r="BY97" s="4"/>
      <c r="BZ97" s="4"/>
      <c r="CA97" s="118"/>
      <c r="CB97" s="4"/>
      <c r="CC97" s="4"/>
      <c r="CD97" s="4"/>
      <c r="CE97" s="135"/>
      <c r="CF97" s="135"/>
      <c r="CG97" s="135"/>
      <c r="CH97" s="135"/>
      <c r="CI97" s="135"/>
      <c r="CJ97" s="135"/>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118"/>
      <c r="DU97" s="4"/>
      <c r="DV97" s="4"/>
      <c r="DW97" s="4"/>
      <c r="DX97" s="4"/>
      <c r="DY97" s="4"/>
      <c r="DZ97" s="4"/>
      <c r="EA97" s="4"/>
      <c r="EB97" s="4"/>
      <c r="EC97" s="4"/>
    </row>
    <row r="98" spans="1:133" s="1" customFormat="1" ht="30" customHeight="1" thickBot="1" x14ac:dyDescent="0.35">
      <c r="A98" s="7"/>
      <c r="B98" s="18" t="s">
        <v>118</v>
      </c>
      <c r="C98" s="15" t="s">
        <v>246</v>
      </c>
      <c r="D98" s="35"/>
      <c r="E98" s="61">
        <v>46334</v>
      </c>
      <c r="F98" s="61">
        <v>46334</v>
      </c>
      <c r="G98" s="31">
        <f t="shared" si="56"/>
        <v>1</v>
      </c>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118"/>
      <c r="AM98" s="4"/>
      <c r="AN98" s="4"/>
      <c r="AO98" s="4"/>
      <c r="AP98" s="4"/>
      <c r="AQ98" s="135"/>
      <c r="AR98" s="4"/>
      <c r="AS98" s="4"/>
      <c r="AT98" s="4"/>
      <c r="AU98" s="4"/>
      <c r="AV98" s="4"/>
      <c r="AW98" s="4"/>
      <c r="AX98" s="4"/>
      <c r="AY98" s="4"/>
      <c r="AZ98" s="4"/>
      <c r="BA98" s="4"/>
      <c r="BB98" s="4"/>
      <c r="BC98" s="135"/>
      <c r="BD98" s="4"/>
      <c r="BE98" s="4"/>
      <c r="BF98" s="4"/>
      <c r="BG98" s="4"/>
      <c r="BH98" s="4"/>
      <c r="BI98" s="4"/>
      <c r="BJ98" s="4"/>
      <c r="BK98" s="4"/>
      <c r="BL98" s="4"/>
      <c r="BM98" s="4"/>
      <c r="BN98" s="4"/>
      <c r="BO98" s="135"/>
      <c r="BP98" s="135"/>
      <c r="BQ98" s="135"/>
      <c r="BR98" s="4"/>
      <c r="BS98" s="4"/>
      <c r="BT98" s="118"/>
      <c r="BU98" s="4"/>
      <c r="BV98" s="4"/>
      <c r="BW98" s="4"/>
      <c r="BX98" s="4"/>
      <c r="BY98" s="4"/>
      <c r="BZ98" s="4"/>
      <c r="CA98" s="118"/>
      <c r="CB98" s="4"/>
      <c r="CC98" s="4"/>
      <c r="CD98" s="4"/>
      <c r="CE98" s="135"/>
      <c r="CF98" s="135"/>
      <c r="CG98" s="135"/>
      <c r="CH98" s="135"/>
      <c r="CI98" s="135"/>
      <c r="CJ98" s="135"/>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118"/>
      <c r="DU98" s="4"/>
      <c r="DV98" s="4"/>
      <c r="DW98" s="4"/>
      <c r="DX98" s="4"/>
      <c r="DY98" s="4"/>
      <c r="DZ98" s="4"/>
      <c r="EA98" s="4"/>
      <c r="EB98" s="4"/>
      <c r="EC98" s="4"/>
    </row>
    <row r="99" spans="1:133" s="1" customFormat="1" ht="30" customHeight="1" thickBot="1" x14ac:dyDescent="0.35">
      <c r="A99" s="7"/>
      <c r="B99" s="18" t="s">
        <v>117</v>
      </c>
      <c r="C99" s="15" t="s">
        <v>246</v>
      </c>
      <c r="D99" s="35"/>
      <c r="E99" s="61">
        <v>46334</v>
      </c>
      <c r="F99" s="61">
        <v>46334</v>
      </c>
      <c r="G99" s="31">
        <f t="shared" si="56"/>
        <v>1</v>
      </c>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118"/>
      <c r="AM99" s="4"/>
      <c r="AN99" s="4"/>
      <c r="AO99" s="4"/>
      <c r="AP99" s="4"/>
      <c r="AQ99" s="135"/>
      <c r="AR99" s="4"/>
      <c r="AS99" s="4"/>
      <c r="AT99" s="4"/>
      <c r="AU99" s="4"/>
      <c r="AV99" s="4"/>
      <c r="AW99" s="4"/>
      <c r="AX99" s="4"/>
      <c r="AY99" s="4"/>
      <c r="AZ99" s="4"/>
      <c r="BA99" s="4"/>
      <c r="BB99" s="4"/>
      <c r="BC99" s="135"/>
      <c r="BD99" s="4"/>
      <c r="BE99" s="4"/>
      <c r="BF99" s="4"/>
      <c r="BG99" s="4"/>
      <c r="BH99" s="4"/>
      <c r="BI99" s="4"/>
      <c r="BJ99" s="4"/>
      <c r="BK99" s="4"/>
      <c r="BL99" s="4"/>
      <c r="BM99" s="4"/>
      <c r="BN99" s="4"/>
      <c r="BO99" s="135"/>
      <c r="BP99" s="135"/>
      <c r="BQ99" s="135"/>
      <c r="BR99" s="4"/>
      <c r="BS99" s="4"/>
      <c r="BT99" s="118"/>
      <c r="BU99" s="4"/>
      <c r="BV99" s="4"/>
      <c r="BW99" s="4"/>
      <c r="BX99" s="4"/>
      <c r="BY99" s="4"/>
      <c r="BZ99" s="4"/>
      <c r="CA99" s="118"/>
      <c r="CB99" s="4"/>
      <c r="CC99" s="4"/>
      <c r="CD99" s="4"/>
      <c r="CE99" s="135"/>
      <c r="CF99" s="135"/>
      <c r="CG99" s="135"/>
      <c r="CH99" s="135"/>
      <c r="CI99" s="135"/>
      <c r="CJ99" s="135"/>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118"/>
      <c r="DU99" s="4"/>
      <c r="DV99" s="4"/>
      <c r="DW99" s="4"/>
      <c r="DX99" s="4"/>
      <c r="DY99" s="4"/>
      <c r="DZ99" s="4"/>
      <c r="EA99" s="4"/>
      <c r="EB99" s="4"/>
      <c r="EC99" s="4"/>
    </row>
    <row r="100" spans="1:133" s="1" customFormat="1" ht="30" customHeight="1" thickBot="1" x14ac:dyDescent="0.35">
      <c r="A100" s="7"/>
      <c r="B100" s="18" t="s">
        <v>119</v>
      </c>
      <c r="C100" s="15" t="s">
        <v>246</v>
      </c>
      <c r="D100" s="35"/>
      <c r="E100" s="61">
        <v>46334</v>
      </c>
      <c r="F100" s="61">
        <v>46334</v>
      </c>
      <c r="G100" s="31">
        <v>1</v>
      </c>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118"/>
      <c r="AM100" s="4"/>
      <c r="AN100" s="4"/>
      <c r="AO100" s="4"/>
      <c r="AP100" s="4"/>
      <c r="AQ100" s="135"/>
      <c r="AR100" s="4"/>
      <c r="AS100" s="4"/>
      <c r="AT100" s="4"/>
      <c r="AU100" s="4"/>
      <c r="AV100" s="4"/>
      <c r="AW100" s="4"/>
      <c r="AX100" s="4"/>
      <c r="AY100" s="4"/>
      <c r="AZ100" s="4"/>
      <c r="BA100" s="4"/>
      <c r="BB100" s="4"/>
      <c r="BC100" s="135"/>
      <c r="BD100" s="4"/>
      <c r="BE100" s="4"/>
      <c r="BF100" s="4"/>
      <c r="BG100" s="4"/>
      <c r="BH100" s="4"/>
      <c r="BI100" s="4"/>
      <c r="BJ100" s="4"/>
      <c r="BK100" s="4"/>
      <c r="BL100" s="4"/>
      <c r="BM100" s="4"/>
      <c r="BN100" s="4"/>
      <c r="BO100" s="135"/>
      <c r="BP100" s="135"/>
      <c r="BQ100" s="135"/>
      <c r="BR100" s="4"/>
      <c r="BS100" s="4"/>
      <c r="BT100" s="118"/>
      <c r="BU100" s="4"/>
      <c r="BV100" s="4"/>
      <c r="BW100" s="4"/>
      <c r="BX100" s="4"/>
      <c r="BY100" s="4"/>
      <c r="BZ100" s="4"/>
      <c r="CA100" s="118"/>
      <c r="CB100" s="4"/>
      <c r="CC100" s="4"/>
      <c r="CD100" s="4"/>
      <c r="CE100" s="135"/>
      <c r="CF100" s="135"/>
      <c r="CG100" s="135"/>
      <c r="CH100" s="135"/>
      <c r="CI100" s="135"/>
      <c r="CJ100" s="135"/>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118"/>
      <c r="DU100" s="4"/>
      <c r="DV100" s="4"/>
      <c r="DW100" s="4"/>
      <c r="DX100" s="4"/>
      <c r="DY100" s="4"/>
      <c r="DZ100" s="4"/>
      <c r="EA100" s="4"/>
      <c r="EB100" s="4"/>
      <c r="EC100" s="4"/>
    </row>
    <row r="101" spans="1:133" s="1" customFormat="1" ht="30" customHeight="1" thickBot="1" x14ac:dyDescent="0.35">
      <c r="A101" s="7"/>
      <c r="B101" s="18" t="s">
        <v>144</v>
      </c>
      <c r="C101" s="15" t="s">
        <v>246</v>
      </c>
      <c r="D101" s="35"/>
      <c r="E101" s="61">
        <v>46334</v>
      </c>
      <c r="F101" s="61">
        <v>46334</v>
      </c>
      <c r="G101" s="31">
        <f t="shared" si="56"/>
        <v>1</v>
      </c>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118"/>
      <c r="AM101" s="4"/>
      <c r="AN101" s="4"/>
      <c r="AO101" s="4"/>
      <c r="AP101" s="4"/>
      <c r="AQ101" s="135"/>
      <c r="AR101" s="4"/>
      <c r="AS101" s="4"/>
      <c r="AT101" s="4"/>
      <c r="AU101" s="4"/>
      <c r="AV101" s="4"/>
      <c r="AW101" s="4"/>
      <c r="AX101" s="4"/>
      <c r="AY101" s="4"/>
      <c r="AZ101" s="4"/>
      <c r="BA101" s="4"/>
      <c r="BB101" s="4"/>
      <c r="BC101" s="135"/>
      <c r="BD101" s="4"/>
      <c r="BE101" s="4"/>
      <c r="BF101" s="4"/>
      <c r="BG101" s="4"/>
      <c r="BH101" s="4"/>
      <c r="BI101" s="4"/>
      <c r="BJ101" s="4"/>
      <c r="BK101" s="4"/>
      <c r="BL101" s="4"/>
      <c r="BM101" s="4"/>
      <c r="BN101" s="4"/>
      <c r="BO101" s="135"/>
      <c r="BP101" s="135"/>
      <c r="BQ101" s="135"/>
      <c r="BR101" s="4"/>
      <c r="BS101" s="4"/>
      <c r="BT101" s="118"/>
      <c r="BU101" s="4"/>
      <c r="BV101" s="4"/>
      <c r="BW101" s="4"/>
      <c r="BX101" s="4"/>
      <c r="BY101" s="4"/>
      <c r="BZ101" s="4"/>
      <c r="CA101" s="118"/>
      <c r="CB101" s="4"/>
      <c r="CC101" s="4"/>
      <c r="CD101" s="4"/>
      <c r="CE101" s="135"/>
      <c r="CF101" s="135"/>
      <c r="CG101" s="135"/>
      <c r="CH101" s="135"/>
      <c r="CI101" s="135"/>
      <c r="CJ101" s="135"/>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118"/>
      <c r="DU101" s="4"/>
      <c r="DV101" s="4"/>
      <c r="DW101" s="4"/>
      <c r="DX101" s="4"/>
      <c r="DY101" s="4"/>
      <c r="DZ101" s="4"/>
      <c r="EA101" s="4"/>
      <c r="EB101" s="4"/>
      <c r="EC101" s="4"/>
    </row>
    <row r="102" spans="1:133" s="1" customFormat="1" ht="30" customHeight="1" thickBot="1" x14ac:dyDescent="0.35">
      <c r="A102" s="7" t="s">
        <v>11</v>
      </c>
      <c r="B102" s="33" t="s">
        <v>93</v>
      </c>
      <c r="C102" s="14"/>
      <c r="D102" s="34"/>
      <c r="E102" s="59"/>
      <c r="F102" s="60"/>
      <c r="G102" s="31" t="str">
        <f t="shared" si="56"/>
        <v/>
      </c>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118"/>
      <c r="AM102" s="4"/>
      <c r="AN102" s="4"/>
      <c r="AO102" s="4"/>
      <c r="AP102" s="4"/>
      <c r="AQ102" s="135"/>
      <c r="AR102" s="4"/>
      <c r="AS102" s="4"/>
      <c r="AT102" s="4"/>
      <c r="AU102" s="4"/>
      <c r="AV102" s="4"/>
      <c r="AW102" s="4"/>
      <c r="AX102" s="4"/>
      <c r="AY102" s="4"/>
      <c r="AZ102" s="4"/>
      <c r="BA102" s="4"/>
      <c r="BB102" s="4"/>
      <c r="BC102" s="135"/>
      <c r="BD102" s="4"/>
      <c r="BE102" s="4"/>
      <c r="BF102" s="4"/>
      <c r="BG102" s="4"/>
      <c r="BH102" s="4"/>
      <c r="BI102" s="4"/>
      <c r="BJ102" s="4"/>
      <c r="BK102" s="4"/>
      <c r="BL102" s="4"/>
      <c r="BM102" s="4"/>
      <c r="BN102" s="4"/>
      <c r="BO102" s="135"/>
      <c r="BP102" s="135"/>
      <c r="BQ102" s="135"/>
      <c r="BR102" s="4"/>
      <c r="BS102" s="4"/>
      <c r="BT102" s="118"/>
      <c r="BU102" s="4"/>
      <c r="BV102" s="4"/>
      <c r="BW102" s="4"/>
      <c r="BX102" s="4"/>
      <c r="BY102" s="4"/>
      <c r="BZ102" s="4"/>
      <c r="CA102" s="118"/>
      <c r="CB102" s="4"/>
      <c r="CC102" s="4"/>
      <c r="CD102" s="4"/>
      <c r="CE102" s="135"/>
      <c r="CF102" s="135"/>
      <c r="CG102" s="135"/>
      <c r="CH102" s="135"/>
      <c r="CI102" s="135"/>
      <c r="CJ102" s="135"/>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118"/>
      <c r="DU102" s="4"/>
      <c r="DV102" s="4"/>
      <c r="DW102" s="4"/>
      <c r="DX102" s="4"/>
      <c r="DY102" s="4"/>
      <c r="DZ102" s="4"/>
      <c r="EA102" s="4"/>
      <c r="EB102" s="4"/>
      <c r="EC102" s="4"/>
    </row>
    <row r="103" spans="1:133" s="1" customFormat="1" ht="30" customHeight="1" thickBot="1" x14ac:dyDescent="0.35">
      <c r="A103" s="7"/>
      <c r="B103" s="18" t="s">
        <v>39</v>
      </c>
      <c r="C103" s="15" t="s">
        <v>246</v>
      </c>
      <c r="D103" s="35"/>
      <c r="E103" s="61">
        <v>46335</v>
      </c>
      <c r="F103" s="61">
        <v>46335</v>
      </c>
      <c r="G103" s="31">
        <f t="shared" si="56"/>
        <v>1</v>
      </c>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118"/>
      <c r="AM103" s="4"/>
      <c r="AN103" s="4"/>
      <c r="AO103" s="4"/>
      <c r="AP103" s="4"/>
      <c r="AQ103" s="135"/>
      <c r="AR103" s="4"/>
      <c r="AS103" s="4"/>
      <c r="AT103" s="4"/>
      <c r="AU103" s="4"/>
      <c r="AV103" s="4"/>
      <c r="AW103" s="4"/>
      <c r="AX103" s="4"/>
      <c r="AY103" s="4"/>
      <c r="AZ103" s="4"/>
      <c r="BA103" s="4"/>
      <c r="BB103" s="4"/>
      <c r="BC103" s="135"/>
      <c r="BD103" s="4"/>
      <c r="BE103" s="4"/>
      <c r="BF103" s="4"/>
      <c r="BG103" s="4"/>
      <c r="BH103" s="4"/>
      <c r="BI103" s="4"/>
      <c r="BJ103" s="4"/>
      <c r="BK103" s="4"/>
      <c r="BL103" s="4"/>
      <c r="BM103" s="4"/>
      <c r="BN103" s="4"/>
      <c r="BO103" s="135"/>
      <c r="BP103" s="135"/>
      <c r="BQ103" s="135"/>
      <c r="BR103" s="4"/>
      <c r="BS103" s="4"/>
      <c r="BT103" s="118"/>
      <c r="BU103" s="4"/>
      <c r="BV103" s="4"/>
      <c r="BW103" s="4"/>
      <c r="BX103" s="4"/>
      <c r="BY103" s="4"/>
      <c r="BZ103" s="4"/>
      <c r="CA103" s="118"/>
      <c r="CB103" s="4"/>
      <c r="CC103" s="4"/>
      <c r="CD103" s="4"/>
      <c r="CE103" s="135"/>
      <c r="CF103" s="135"/>
      <c r="CG103" s="135"/>
      <c r="CH103" s="135"/>
      <c r="CI103" s="135"/>
      <c r="CJ103" s="135"/>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118"/>
      <c r="DU103" s="4"/>
      <c r="DV103" s="4"/>
      <c r="DW103" s="4"/>
      <c r="DX103" s="4"/>
      <c r="DY103" s="4"/>
      <c r="DZ103" s="4"/>
      <c r="EA103" s="4"/>
      <c r="EB103" s="4"/>
      <c r="EC103" s="4"/>
    </row>
    <row r="104" spans="1:133" s="1" customFormat="1" ht="30" customHeight="1" thickBot="1" x14ac:dyDescent="0.35">
      <c r="A104" s="7"/>
      <c r="B104" s="18" t="s">
        <v>40</v>
      </c>
      <c r="C104" s="15" t="s">
        <v>246</v>
      </c>
      <c r="D104" s="35"/>
      <c r="E104" s="61">
        <v>46335</v>
      </c>
      <c r="F104" s="61">
        <v>46335</v>
      </c>
      <c r="G104" s="31">
        <f t="shared" si="56"/>
        <v>1</v>
      </c>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118"/>
      <c r="AM104" s="4"/>
      <c r="AN104" s="4"/>
      <c r="AO104" s="4"/>
      <c r="AP104" s="4"/>
      <c r="AQ104" s="135"/>
      <c r="AR104" s="4"/>
      <c r="AS104" s="4"/>
      <c r="AT104" s="4"/>
      <c r="AU104" s="4"/>
      <c r="AV104" s="4"/>
      <c r="AW104" s="4"/>
      <c r="AX104" s="4"/>
      <c r="AY104" s="4"/>
      <c r="AZ104" s="4"/>
      <c r="BA104" s="4"/>
      <c r="BB104" s="4"/>
      <c r="BC104" s="135"/>
      <c r="BD104" s="4"/>
      <c r="BE104" s="4"/>
      <c r="BF104" s="4"/>
      <c r="BG104" s="4"/>
      <c r="BH104" s="4"/>
      <c r="BI104" s="4"/>
      <c r="BJ104" s="4"/>
      <c r="BK104" s="4"/>
      <c r="BL104" s="4"/>
      <c r="BM104" s="4"/>
      <c r="BN104" s="4"/>
      <c r="BO104" s="135"/>
      <c r="BP104" s="135"/>
      <c r="BQ104" s="135"/>
      <c r="BR104" s="4"/>
      <c r="BS104" s="4"/>
      <c r="BT104" s="118"/>
      <c r="BU104" s="4"/>
      <c r="BV104" s="4"/>
      <c r="BW104" s="4"/>
      <c r="BX104" s="4"/>
      <c r="BY104" s="4"/>
      <c r="BZ104" s="4"/>
      <c r="CA104" s="118"/>
      <c r="CB104" s="4"/>
      <c r="CC104" s="4"/>
      <c r="CD104" s="4"/>
      <c r="CE104" s="135"/>
      <c r="CF104" s="135"/>
      <c r="CG104" s="135"/>
      <c r="CH104" s="135"/>
      <c r="CI104" s="135"/>
      <c r="CJ104" s="135"/>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118"/>
      <c r="DU104" s="4"/>
      <c r="DV104" s="4"/>
      <c r="DW104" s="4"/>
      <c r="DX104" s="4"/>
      <c r="DY104" s="4"/>
      <c r="DZ104" s="4"/>
      <c r="EA104" s="4"/>
      <c r="EB104" s="4"/>
      <c r="EC104" s="4"/>
    </row>
    <row r="105" spans="1:133" s="1" customFormat="1" ht="30" customHeight="1" thickBot="1" x14ac:dyDescent="0.35">
      <c r="A105" s="7"/>
      <c r="B105" s="18" t="s">
        <v>41</v>
      </c>
      <c r="C105" s="15" t="s">
        <v>246</v>
      </c>
      <c r="D105" s="35"/>
      <c r="E105" s="61">
        <v>46335</v>
      </c>
      <c r="F105" s="61">
        <v>46335</v>
      </c>
      <c r="G105" s="31">
        <f t="shared" si="56"/>
        <v>1</v>
      </c>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118"/>
      <c r="AM105" s="4"/>
      <c r="AN105" s="4"/>
      <c r="AO105" s="4"/>
      <c r="AP105" s="4"/>
      <c r="AQ105" s="135"/>
      <c r="AR105" s="4"/>
      <c r="AS105" s="4"/>
      <c r="AT105" s="4"/>
      <c r="AU105" s="4"/>
      <c r="AV105" s="4"/>
      <c r="AW105" s="4"/>
      <c r="AX105" s="4"/>
      <c r="AY105" s="4"/>
      <c r="AZ105" s="4"/>
      <c r="BA105" s="4"/>
      <c r="BB105" s="4"/>
      <c r="BC105" s="135"/>
      <c r="BD105" s="4"/>
      <c r="BE105" s="4"/>
      <c r="BF105" s="4"/>
      <c r="BG105" s="4"/>
      <c r="BH105" s="4"/>
      <c r="BI105" s="4"/>
      <c r="BJ105" s="4"/>
      <c r="BK105" s="4"/>
      <c r="BL105" s="4"/>
      <c r="BM105" s="4"/>
      <c r="BN105" s="4"/>
      <c r="BO105" s="135"/>
      <c r="BP105" s="135"/>
      <c r="BQ105" s="135"/>
      <c r="BR105" s="4"/>
      <c r="BS105" s="4"/>
      <c r="BT105" s="118"/>
      <c r="BU105" s="4"/>
      <c r="BV105" s="4"/>
      <c r="BW105" s="4"/>
      <c r="BX105" s="4"/>
      <c r="BY105" s="4"/>
      <c r="BZ105" s="4"/>
      <c r="CA105" s="118"/>
      <c r="CB105" s="4"/>
      <c r="CC105" s="4"/>
      <c r="CD105" s="4"/>
      <c r="CE105" s="135"/>
      <c r="CF105" s="135"/>
      <c r="CG105" s="135"/>
      <c r="CH105" s="135"/>
      <c r="CI105" s="135"/>
      <c r="CJ105" s="135"/>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118"/>
      <c r="DU105" s="4"/>
      <c r="DV105" s="4"/>
      <c r="DW105" s="4"/>
      <c r="DX105" s="4"/>
      <c r="DY105" s="4"/>
      <c r="DZ105" s="4"/>
      <c r="EA105" s="4"/>
      <c r="EB105" s="4"/>
      <c r="EC105" s="4"/>
    </row>
    <row r="106" spans="1:133" s="1" customFormat="1" ht="30" customHeight="1" thickBot="1" x14ac:dyDescent="0.35">
      <c r="A106" s="7"/>
      <c r="B106" s="18" t="s">
        <v>101</v>
      </c>
      <c r="C106" s="15" t="s">
        <v>246</v>
      </c>
      <c r="D106" s="35"/>
      <c r="E106" s="61">
        <v>46336</v>
      </c>
      <c r="F106" s="61">
        <v>46336</v>
      </c>
      <c r="G106" s="31">
        <f t="shared" si="56"/>
        <v>1</v>
      </c>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118"/>
      <c r="AM106" s="4"/>
      <c r="AN106" s="4"/>
      <c r="AO106" s="4"/>
      <c r="AP106" s="4"/>
      <c r="AQ106" s="135"/>
      <c r="AR106" s="4"/>
      <c r="AS106" s="4"/>
      <c r="AT106" s="4"/>
      <c r="AU106" s="4"/>
      <c r="AV106" s="4"/>
      <c r="AW106" s="4"/>
      <c r="AX106" s="4"/>
      <c r="AY106" s="4"/>
      <c r="AZ106" s="4"/>
      <c r="BA106" s="4"/>
      <c r="BB106" s="4"/>
      <c r="BC106" s="135"/>
      <c r="BD106" s="4"/>
      <c r="BE106" s="4"/>
      <c r="BF106" s="4"/>
      <c r="BG106" s="4"/>
      <c r="BH106" s="4"/>
      <c r="BI106" s="4"/>
      <c r="BJ106" s="4"/>
      <c r="BK106" s="4"/>
      <c r="BL106" s="4"/>
      <c r="BM106" s="4"/>
      <c r="BN106" s="4"/>
      <c r="BO106" s="135"/>
      <c r="BP106" s="135"/>
      <c r="BQ106" s="135"/>
      <c r="BR106" s="4"/>
      <c r="BS106" s="4"/>
      <c r="BT106" s="118"/>
      <c r="BU106" s="4"/>
      <c r="BV106" s="4"/>
      <c r="BW106" s="4"/>
      <c r="BX106" s="4"/>
      <c r="BY106" s="4"/>
      <c r="BZ106" s="4"/>
      <c r="CA106" s="118"/>
      <c r="CB106" s="4"/>
      <c r="CC106" s="4"/>
      <c r="CD106" s="4"/>
      <c r="CE106" s="135"/>
      <c r="CF106" s="135"/>
      <c r="CG106" s="135"/>
      <c r="CH106" s="135"/>
      <c r="CI106" s="135"/>
      <c r="CJ106" s="135"/>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118"/>
      <c r="DU106" s="4"/>
      <c r="DV106" s="4"/>
      <c r="DW106" s="4"/>
      <c r="DX106" s="4"/>
      <c r="DY106" s="4"/>
      <c r="DZ106" s="4"/>
      <c r="EA106" s="4"/>
      <c r="EB106" s="4"/>
      <c r="EC106" s="4"/>
    </row>
    <row r="107" spans="1:133" s="1" customFormat="1" ht="30" customHeight="1" thickBot="1" x14ac:dyDescent="0.35">
      <c r="A107" s="7"/>
      <c r="B107" s="18" t="s">
        <v>103</v>
      </c>
      <c r="C107" s="15" t="s">
        <v>246</v>
      </c>
      <c r="D107" s="35"/>
      <c r="E107" s="61">
        <v>46336</v>
      </c>
      <c r="F107" s="61">
        <v>46336</v>
      </c>
      <c r="G107" s="31">
        <f t="shared" si="56"/>
        <v>1</v>
      </c>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118"/>
      <c r="AM107" s="4"/>
      <c r="AN107" s="4"/>
      <c r="AO107" s="4"/>
      <c r="AP107" s="4"/>
      <c r="AQ107" s="135"/>
      <c r="AR107" s="4"/>
      <c r="AS107" s="4"/>
      <c r="AT107" s="4"/>
      <c r="AU107" s="4"/>
      <c r="AV107" s="4"/>
      <c r="AW107" s="4"/>
      <c r="AX107" s="4"/>
      <c r="AY107" s="4"/>
      <c r="AZ107" s="4"/>
      <c r="BA107" s="4"/>
      <c r="BB107" s="4"/>
      <c r="BC107" s="135"/>
      <c r="BD107" s="4"/>
      <c r="BE107" s="4"/>
      <c r="BF107" s="4"/>
      <c r="BG107" s="4"/>
      <c r="BH107" s="4"/>
      <c r="BI107" s="4"/>
      <c r="BJ107" s="4"/>
      <c r="BK107" s="4"/>
      <c r="BL107" s="4"/>
      <c r="BM107" s="4"/>
      <c r="BN107" s="4"/>
      <c r="BO107" s="135"/>
      <c r="BP107" s="135"/>
      <c r="BQ107" s="135"/>
      <c r="BR107" s="4"/>
      <c r="BS107" s="4"/>
      <c r="BT107" s="118"/>
      <c r="BU107" s="4"/>
      <c r="BV107" s="4"/>
      <c r="BW107" s="4"/>
      <c r="BX107" s="4"/>
      <c r="BY107" s="4"/>
      <c r="BZ107" s="4"/>
      <c r="CA107" s="118"/>
      <c r="CB107" s="4"/>
      <c r="CC107" s="4"/>
      <c r="CD107" s="4"/>
      <c r="CE107" s="135"/>
      <c r="CF107" s="135"/>
      <c r="CG107" s="135"/>
      <c r="CH107" s="135"/>
      <c r="CI107" s="135"/>
      <c r="CJ107" s="135"/>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118"/>
      <c r="DU107" s="4"/>
      <c r="DV107" s="4"/>
      <c r="DW107" s="4"/>
      <c r="DX107" s="4"/>
      <c r="DY107" s="4"/>
      <c r="DZ107" s="4"/>
      <c r="EA107" s="4"/>
      <c r="EB107" s="4"/>
      <c r="EC107" s="4"/>
    </row>
    <row r="108" spans="1:133" s="1" customFormat="1" ht="30" customHeight="1" thickBot="1" x14ac:dyDescent="0.35">
      <c r="A108" s="7"/>
      <c r="B108" s="18" t="s">
        <v>108</v>
      </c>
      <c r="C108" s="15" t="s">
        <v>246</v>
      </c>
      <c r="D108" s="35"/>
      <c r="E108" s="61">
        <v>46336</v>
      </c>
      <c r="F108" s="61">
        <v>46336</v>
      </c>
      <c r="G108" s="31">
        <f t="shared" si="56"/>
        <v>1</v>
      </c>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118"/>
      <c r="AM108" s="4"/>
      <c r="AN108" s="4"/>
      <c r="AO108" s="4"/>
      <c r="AP108" s="4"/>
      <c r="AQ108" s="135"/>
      <c r="AR108" s="4"/>
      <c r="AS108" s="4"/>
      <c r="AT108" s="4"/>
      <c r="AU108" s="4"/>
      <c r="AV108" s="4"/>
      <c r="AW108" s="4"/>
      <c r="AX108" s="4"/>
      <c r="AY108" s="4"/>
      <c r="AZ108" s="4"/>
      <c r="BA108" s="4"/>
      <c r="BB108" s="4"/>
      <c r="BC108" s="135"/>
      <c r="BD108" s="4"/>
      <c r="BE108" s="4"/>
      <c r="BF108" s="4"/>
      <c r="BG108" s="4"/>
      <c r="BH108" s="4"/>
      <c r="BI108" s="4"/>
      <c r="BJ108" s="4"/>
      <c r="BK108" s="4"/>
      <c r="BL108" s="4"/>
      <c r="BM108" s="4"/>
      <c r="BN108" s="4"/>
      <c r="BO108" s="135"/>
      <c r="BP108" s="135"/>
      <c r="BQ108" s="135"/>
      <c r="BR108" s="4"/>
      <c r="BS108" s="4"/>
      <c r="BT108" s="118"/>
      <c r="BU108" s="4"/>
      <c r="BV108" s="4"/>
      <c r="BW108" s="4"/>
      <c r="BX108" s="4"/>
      <c r="BY108" s="4"/>
      <c r="BZ108" s="4"/>
      <c r="CA108" s="118"/>
      <c r="CB108" s="4"/>
      <c r="CC108" s="4"/>
      <c r="CD108" s="4"/>
      <c r="CE108" s="135"/>
      <c r="CF108" s="135"/>
      <c r="CG108" s="135"/>
      <c r="CH108" s="135"/>
      <c r="CI108" s="135"/>
      <c r="CJ108" s="135"/>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118"/>
      <c r="DU108" s="4"/>
      <c r="DV108" s="4"/>
      <c r="DW108" s="4"/>
      <c r="DX108" s="4"/>
      <c r="DY108" s="4"/>
      <c r="DZ108" s="4"/>
      <c r="EA108" s="4"/>
      <c r="EB108" s="4"/>
      <c r="EC108" s="4"/>
    </row>
    <row r="109" spans="1:133" s="1" customFormat="1" ht="30" customHeight="1" thickBot="1" x14ac:dyDescent="0.35">
      <c r="A109" s="7"/>
      <c r="B109" s="18" t="s">
        <v>111</v>
      </c>
      <c r="C109" s="15" t="s">
        <v>246</v>
      </c>
      <c r="D109" s="35"/>
      <c r="E109" s="61">
        <v>46336</v>
      </c>
      <c r="F109" s="61">
        <v>46336</v>
      </c>
      <c r="G109" s="31">
        <f t="shared" si="56"/>
        <v>1</v>
      </c>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118"/>
      <c r="AM109" s="4"/>
      <c r="AN109" s="4"/>
      <c r="AO109" s="4"/>
      <c r="AP109" s="4"/>
      <c r="AQ109" s="135"/>
      <c r="AR109" s="4"/>
      <c r="AS109" s="4"/>
      <c r="AT109" s="4"/>
      <c r="AU109" s="4"/>
      <c r="AV109" s="4"/>
      <c r="AW109" s="4"/>
      <c r="AX109" s="4"/>
      <c r="AY109" s="4"/>
      <c r="AZ109" s="4"/>
      <c r="BA109" s="4"/>
      <c r="BB109" s="4"/>
      <c r="BC109" s="135"/>
      <c r="BD109" s="4"/>
      <c r="BE109" s="4"/>
      <c r="BF109" s="4"/>
      <c r="BG109" s="4"/>
      <c r="BH109" s="4"/>
      <c r="BI109" s="4"/>
      <c r="BJ109" s="4"/>
      <c r="BK109" s="4"/>
      <c r="BL109" s="4"/>
      <c r="BM109" s="4"/>
      <c r="BN109" s="4"/>
      <c r="BO109" s="135"/>
      <c r="BP109" s="135"/>
      <c r="BQ109" s="135"/>
      <c r="BR109" s="4"/>
      <c r="BS109" s="4"/>
      <c r="BT109" s="118"/>
      <c r="BU109" s="4"/>
      <c r="BV109" s="4"/>
      <c r="BW109" s="4"/>
      <c r="BX109" s="4"/>
      <c r="BY109" s="4"/>
      <c r="BZ109" s="4"/>
      <c r="CA109" s="118"/>
      <c r="CB109" s="4"/>
      <c r="CC109" s="4"/>
      <c r="CD109" s="4"/>
      <c r="CE109" s="135"/>
      <c r="CF109" s="135"/>
      <c r="CG109" s="135"/>
      <c r="CH109" s="135"/>
      <c r="CI109" s="135"/>
      <c r="CJ109" s="135"/>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118"/>
      <c r="DU109" s="4"/>
      <c r="DV109" s="4"/>
      <c r="DW109" s="4"/>
      <c r="DX109" s="4"/>
      <c r="DY109" s="4"/>
      <c r="DZ109" s="4"/>
      <c r="EA109" s="4"/>
      <c r="EB109" s="4"/>
      <c r="EC109" s="4"/>
    </row>
    <row r="110" spans="1:133" s="1" customFormat="1" ht="30" customHeight="1" thickBot="1" x14ac:dyDescent="0.35">
      <c r="A110" s="7" t="s">
        <v>11</v>
      </c>
      <c r="B110" s="33" t="s">
        <v>94</v>
      </c>
      <c r="C110" s="14"/>
      <c r="D110" s="34"/>
      <c r="E110" s="59"/>
      <c r="F110" s="60"/>
      <c r="G110" s="31" t="str">
        <f t="shared" si="56"/>
        <v/>
      </c>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118"/>
      <c r="AM110" s="4"/>
      <c r="AN110" s="4"/>
      <c r="AO110" s="4"/>
      <c r="AP110" s="4"/>
      <c r="AQ110" s="135"/>
      <c r="AR110" s="4"/>
      <c r="AS110" s="4"/>
      <c r="AT110" s="4"/>
      <c r="AU110" s="4"/>
      <c r="AV110" s="4"/>
      <c r="AW110" s="4"/>
      <c r="AX110" s="4"/>
      <c r="AY110" s="4"/>
      <c r="AZ110" s="4"/>
      <c r="BA110" s="4"/>
      <c r="BB110" s="4"/>
      <c r="BC110" s="135"/>
      <c r="BD110" s="4"/>
      <c r="BE110" s="4"/>
      <c r="BF110" s="4"/>
      <c r="BG110" s="4"/>
      <c r="BH110" s="4"/>
      <c r="BI110" s="4"/>
      <c r="BJ110" s="4"/>
      <c r="BK110" s="4"/>
      <c r="BL110" s="4"/>
      <c r="BM110" s="4"/>
      <c r="BN110" s="4"/>
      <c r="BO110" s="135"/>
      <c r="BP110" s="135"/>
      <c r="BQ110" s="135"/>
      <c r="BR110" s="4"/>
      <c r="BS110" s="4"/>
      <c r="BT110" s="118"/>
      <c r="BU110" s="4"/>
      <c r="BV110" s="4"/>
      <c r="BW110" s="4"/>
      <c r="BX110" s="4"/>
      <c r="BY110" s="4"/>
      <c r="BZ110" s="4"/>
      <c r="CA110" s="118"/>
      <c r="CB110" s="4"/>
      <c r="CC110" s="4"/>
      <c r="CD110" s="4"/>
      <c r="CE110" s="135"/>
      <c r="CF110" s="135"/>
      <c r="CG110" s="135"/>
      <c r="CH110" s="135"/>
      <c r="CI110" s="135"/>
      <c r="CJ110" s="135"/>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118"/>
      <c r="DU110" s="4"/>
      <c r="DV110" s="4"/>
      <c r="DW110" s="4"/>
      <c r="DX110" s="4"/>
      <c r="DY110" s="4"/>
      <c r="DZ110" s="4"/>
      <c r="EA110" s="4"/>
      <c r="EB110" s="4"/>
      <c r="EC110" s="4"/>
    </row>
    <row r="111" spans="1:133" s="1" customFormat="1" ht="30" customHeight="1" thickBot="1" x14ac:dyDescent="0.35">
      <c r="A111" s="7"/>
      <c r="B111" s="18" t="s">
        <v>39</v>
      </c>
      <c r="C111" s="15" t="s">
        <v>246</v>
      </c>
      <c r="D111" s="35"/>
      <c r="E111" s="61">
        <v>46337</v>
      </c>
      <c r="F111" s="61">
        <v>46337</v>
      </c>
      <c r="G111" s="31">
        <f t="shared" si="56"/>
        <v>1</v>
      </c>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118"/>
      <c r="AM111" s="4"/>
      <c r="AN111" s="4"/>
      <c r="AO111" s="4"/>
      <c r="AP111" s="4"/>
      <c r="AQ111" s="135"/>
      <c r="AR111" s="4"/>
      <c r="AS111" s="4"/>
      <c r="AT111" s="4"/>
      <c r="AU111" s="4"/>
      <c r="AV111" s="4"/>
      <c r="AW111" s="4"/>
      <c r="AX111" s="4"/>
      <c r="AY111" s="4"/>
      <c r="AZ111" s="4"/>
      <c r="BA111" s="4"/>
      <c r="BB111" s="4"/>
      <c r="BC111" s="135"/>
      <c r="BD111" s="4"/>
      <c r="BE111" s="4"/>
      <c r="BF111" s="4"/>
      <c r="BG111" s="4"/>
      <c r="BH111" s="4"/>
      <c r="BI111" s="4"/>
      <c r="BJ111" s="4"/>
      <c r="BK111" s="4"/>
      <c r="BL111" s="4"/>
      <c r="BM111" s="4"/>
      <c r="BN111" s="4"/>
      <c r="BO111" s="135"/>
      <c r="BP111" s="135"/>
      <c r="BQ111" s="135"/>
      <c r="BR111" s="4"/>
      <c r="BS111" s="4"/>
      <c r="BT111" s="118"/>
      <c r="BU111" s="4"/>
      <c r="BV111" s="4"/>
      <c r="BW111" s="4"/>
      <c r="BX111" s="4"/>
      <c r="BY111" s="4"/>
      <c r="BZ111" s="4"/>
      <c r="CA111" s="118"/>
      <c r="CB111" s="4"/>
      <c r="CC111" s="4"/>
      <c r="CD111" s="4"/>
      <c r="CE111" s="135"/>
      <c r="CF111" s="135"/>
      <c r="CG111" s="135"/>
      <c r="CH111" s="135"/>
      <c r="CI111" s="135"/>
      <c r="CJ111" s="135"/>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118"/>
      <c r="DU111" s="4"/>
      <c r="DV111" s="4"/>
      <c r="DW111" s="4"/>
      <c r="DX111" s="4"/>
      <c r="DY111" s="4"/>
      <c r="DZ111" s="4"/>
      <c r="EA111" s="4"/>
      <c r="EB111" s="4"/>
      <c r="EC111" s="4"/>
    </row>
    <row r="112" spans="1:133" s="1" customFormat="1" ht="30" customHeight="1" thickBot="1" x14ac:dyDescent="0.35">
      <c r="A112" s="7"/>
      <c r="B112" s="18" t="s">
        <v>40</v>
      </c>
      <c r="C112" s="15" t="s">
        <v>246</v>
      </c>
      <c r="D112" s="35"/>
      <c r="E112" s="61">
        <v>46337</v>
      </c>
      <c r="F112" s="61">
        <v>46337</v>
      </c>
      <c r="G112" s="31">
        <f t="shared" si="56"/>
        <v>1</v>
      </c>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118"/>
      <c r="AM112" s="4"/>
      <c r="AN112" s="4"/>
      <c r="AO112" s="4"/>
      <c r="AP112" s="4"/>
      <c r="AQ112" s="135"/>
      <c r="AR112" s="4"/>
      <c r="AS112" s="4"/>
      <c r="AT112" s="4"/>
      <c r="AU112" s="4"/>
      <c r="AV112" s="4"/>
      <c r="AW112" s="4"/>
      <c r="AX112" s="4"/>
      <c r="AY112" s="4"/>
      <c r="AZ112" s="4"/>
      <c r="BA112" s="4"/>
      <c r="BB112" s="4"/>
      <c r="BC112" s="135"/>
      <c r="BD112" s="4"/>
      <c r="BE112" s="4"/>
      <c r="BF112" s="4"/>
      <c r="BG112" s="4"/>
      <c r="BH112" s="4"/>
      <c r="BI112" s="4"/>
      <c r="BJ112" s="4"/>
      <c r="BK112" s="4"/>
      <c r="BL112" s="4"/>
      <c r="BM112" s="4"/>
      <c r="BN112" s="4"/>
      <c r="BO112" s="135"/>
      <c r="BP112" s="135"/>
      <c r="BQ112" s="135"/>
      <c r="BR112" s="4"/>
      <c r="BS112" s="4"/>
      <c r="BT112" s="118"/>
      <c r="BU112" s="4"/>
      <c r="BV112" s="4"/>
      <c r="BW112" s="4"/>
      <c r="BX112" s="4"/>
      <c r="BY112" s="4"/>
      <c r="BZ112" s="4"/>
      <c r="CA112" s="118"/>
      <c r="CB112" s="4"/>
      <c r="CC112" s="4"/>
      <c r="CD112" s="4"/>
      <c r="CE112" s="135"/>
      <c r="CF112" s="135"/>
      <c r="CG112" s="135"/>
      <c r="CH112" s="135"/>
      <c r="CI112" s="135"/>
      <c r="CJ112" s="135"/>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118"/>
      <c r="DU112" s="4"/>
      <c r="DV112" s="4"/>
      <c r="DW112" s="4"/>
      <c r="DX112" s="4"/>
      <c r="DY112" s="4"/>
      <c r="DZ112" s="4"/>
      <c r="EA112" s="4"/>
      <c r="EB112" s="4"/>
      <c r="EC112" s="4"/>
    </row>
    <row r="113" spans="1:133" s="1" customFormat="1" ht="30" customHeight="1" thickBot="1" x14ac:dyDescent="0.35">
      <c r="A113" s="7"/>
      <c r="B113" s="18" t="s">
        <v>41</v>
      </c>
      <c r="C113" s="15" t="s">
        <v>246</v>
      </c>
      <c r="D113" s="35"/>
      <c r="E113" s="61">
        <v>46337</v>
      </c>
      <c r="F113" s="61">
        <v>46337</v>
      </c>
      <c r="G113" s="31">
        <f t="shared" si="56"/>
        <v>1</v>
      </c>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118"/>
      <c r="AM113" s="4"/>
      <c r="AN113" s="4"/>
      <c r="AO113" s="4"/>
      <c r="AP113" s="4"/>
      <c r="AQ113" s="135"/>
      <c r="AR113" s="4"/>
      <c r="AS113" s="4"/>
      <c r="AT113" s="4"/>
      <c r="AU113" s="4"/>
      <c r="AV113" s="4"/>
      <c r="AW113" s="4"/>
      <c r="AX113" s="4"/>
      <c r="AY113" s="4"/>
      <c r="AZ113" s="4"/>
      <c r="BA113" s="4"/>
      <c r="BB113" s="4"/>
      <c r="BC113" s="135"/>
      <c r="BD113" s="4"/>
      <c r="BE113" s="4"/>
      <c r="BF113" s="4"/>
      <c r="BG113" s="4"/>
      <c r="BH113" s="4"/>
      <c r="BI113" s="4"/>
      <c r="BJ113" s="4"/>
      <c r="BK113" s="4"/>
      <c r="BL113" s="4"/>
      <c r="BM113" s="4"/>
      <c r="BN113" s="4"/>
      <c r="BO113" s="135"/>
      <c r="BP113" s="135"/>
      <c r="BQ113" s="135"/>
      <c r="BR113" s="4"/>
      <c r="BS113" s="4"/>
      <c r="BT113" s="118"/>
      <c r="BU113" s="4"/>
      <c r="BV113" s="4"/>
      <c r="BW113" s="4"/>
      <c r="BX113" s="4"/>
      <c r="BY113" s="4"/>
      <c r="BZ113" s="4"/>
      <c r="CA113" s="118"/>
      <c r="CB113" s="4"/>
      <c r="CC113" s="4"/>
      <c r="CD113" s="4"/>
      <c r="CE113" s="135"/>
      <c r="CF113" s="135"/>
      <c r="CG113" s="135"/>
      <c r="CH113" s="135"/>
      <c r="CI113" s="135"/>
      <c r="CJ113" s="135"/>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118"/>
      <c r="DU113" s="4"/>
      <c r="DV113" s="4"/>
      <c r="DW113" s="4"/>
      <c r="DX113" s="4"/>
      <c r="DY113" s="4"/>
      <c r="DZ113" s="4"/>
      <c r="EA113" s="4"/>
      <c r="EB113" s="4"/>
      <c r="EC113" s="4"/>
    </row>
    <row r="114" spans="1:133" s="1" customFormat="1" ht="30" customHeight="1" thickBot="1" x14ac:dyDescent="0.35">
      <c r="A114" s="7"/>
      <c r="B114" s="18" t="s">
        <v>99</v>
      </c>
      <c r="C114" s="15" t="s">
        <v>246</v>
      </c>
      <c r="D114" s="35"/>
      <c r="E114" s="61">
        <v>46337</v>
      </c>
      <c r="F114" s="61">
        <v>46337</v>
      </c>
      <c r="G114" s="31">
        <f t="shared" si="56"/>
        <v>1</v>
      </c>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118"/>
      <c r="AM114" s="4"/>
      <c r="AN114" s="4"/>
      <c r="AO114" s="4"/>
      <c r="AP114" s="4"/>
      <c r="AQ114" s="135"/>
      <c r="AR114" s="4"/>
      <c r="AS114" s="4"/>
      <c r="AT114" s="4"/>
      <c r="AU114" s="4"/>
      <c r="AV114" s="4"/>
      <c r="AW114" s="4"/>
      <c r="AX114" s="4"/>
      <c r="AY114" s="4"/>
      <c r="AZ114" s="4"/>
      <c r="BA114" s="4"/>
      <c r="BB114" s="4"/>
      <c r="BC114" s="135"/>
      <c r="BD114" s="4"/>
      <c r="BE114" s="4"/>
      <c r="BF114" s="4"/>
      <c r="BG114" s="4"/>
      <c r="BH114" s="4"/>
      <c r="BI114" s="4"/>
      <c r="BJ114" s="4"/>
      <c r="BK114" s="4"/>
      <c r="BL114" s="4"/>
      <c r="BM114" s="4"/>
      <c r="BN114" s="4"/>
      <c r="BO114" s="135"/>
      <c r="BP114" s="135"/>
      <c r="BQ114" s="135"/>
      <c r="BR114" s="4"/>
      <c r="BS114" s="4"/>
      <c r="BT114" s="118"/>
      <c r="BU114" s="4"/>
      <c r="BV114" s="4"/>
      <c r="BW114" s="4"/>
      <c r="BX114" s="4"/>
      <c r="BY114" s="4"/>
      <c r="BZ114" s="4"/>
      <c r="CA114" s="118"/>
      <c r="CB114" s="4"/>
      <c r="CC114" s="4"/>
      <c r="CD114" s="4"/>
      <c r="CE114" s="135"/>
      <c r="CF114" s="135"/>
      <c r="CG114" s="135"/>
      <c r="CH114" s="135"/>
      <c r="CI114" s="135"/>
      <c r="CJ114" s="135"/>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118"/>
      <c r="DU114" s="4"/>
      <c r="DV114" s="4"/>
      <c r="DW114" s="4"/>
      <c r="DX114" s="4"/>
      <c r="DY114" s="4"/>
      <c r="DZ114" s="4"/>
      <c r="EA114" s="4"/>
      <c r="EB114" s="4"/>
      <c r="EC114" s="4"/>
    </row>
    <row r="115" spans="1:133" s="1" customFormat="1" ht="30" customHeight="1" thickBot="1" x14ac:dyDescent="0.35">
      <c r="A115" s="7"/>
      <c r="B115" s="18" t="s">
        <v>120</v>
      </c>
      <c r="C115" s="15" t="s">
        <v>246</v>
      </c>
      <c r="D115" s="35"/>
      <c r="E115" s="61">
        <v>46338</v>
      </c>
      <c r="F115" s="61">
        <v>46338</v>
      </c>
      <c r="G115" s="31">
        <f t="shared" si="56"/>
        <v>1</v>
      </c>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118"/>
      <c r="AM115" s="4"/>
      <c r="AN115" s="4"/>
      <c r="AO115" s="4"/>
      <c r="AP115" s="4"/>
      <c r="AQ115" s="135"/>
      <c r="AR115" s="4"/>
      <c r="AS115" s="4"/>
      <c r="AT115" s="4"/>
      <c r="AU115" s="4"/>
      <c r="AV115" s="4"/>
      <c r="AW115" s="4"/>
      <c r="AX115" s="4"/>
      <c r="AY115" s="4"/>
      <c r="AZ115" s="4"/>
      <c r="BA115" s="4"/>
      <c r="BB115" s="4"/>
      <c r="BC115" s="135"/>
      <c r="BD115" s="4"/>
      <c r="BE115" s="4"/>
      <c r="BF115" s="4"/>
      <c r="BG115" s="4"/>
      <c r="BH115" s="4"/>
      <c r="BI115" s="4"/>
      <c r="BJ115" s="4"/>
      <c r="BK115" s="4"/>
      <c r="BL115" s="4"/>
      <c r="BM115" s="4"/>
      <c r="BN115" s="4"/>
      <c r="BO115" s="135"/>
      <c r="BP115" s="135"/>
      <c r="BQ115" s="135"/>
      <c r="BR115" s="4"/>
      <c r="BS115" s="4"/>
      <c r="BT115" s="118"/>
      <c r="BU115" s="4"/>
      <c r="BV115" s="4"/>
      <c r="BW115" s="4"/>
      <c r="BX115" s="4"/>
      <c r="BY115" s="4"/>
      <c r="BZ115" s="4"/>
      <c r="CA115" s="118"/>
      <c r="CB115" s="4"/>
      <c r="CC115" s="4"/>
      <c r="CD115" s="4"/>
      <c r="CE115" s="135"/>
      <c r="CF115" s="135"/>
      <c r="CG115" s="135"/>
      <c r="CH115" s="135"/>
      <c r="CI115" s="135"/>
      <c r="CJ115" s="135"/>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118"/>
      <c r="DU115" s="4"/>
      <c r="DV115" s="4"/>
      <c r="DW115" s="4"/>
      <c r="DX115" s="4"/>
      <c r="DY115" s="4"/>
      <c r="DZ115" s="4"/>
      <c r="EA115" s="4"/>
      <c r="EB115" s="4"/>
      <c r="EC115" s="4"/>
    </row>
    <row r="116" spans="1:133" s="1" customFormat="1" ht="30" customHeight="1" thickBot="1" x14ac:dyDescent="0.35">
      <c r="A116" s="7"/>
      <c r="B116" s="18" t="s">
        <v>101</v>
      </c>
      <c r="C116" s="15" t="s">
        <v>246</v>
      </c>
      <c r="D116" s="35"/>
      <c r="E116" s="61">
        <v>46338</v>
      </c>
      <c r="F116" s="61">
        <v>46338</v>
      </c>
      <c r="G116" s="31">
        <f t="shared" si="56"/>
        <v>1</v>
      </c>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118"/>
      <c r="AM116" s="4"/>
      <c r="AN116" s="4"/>
      <c r="AO116" s="4"/>
      <c r="AP116" s="4"/>
      <c r="AQ116" s="135"/>
      <c r="AR116" s="4"/>
      <c r="AS116" s="4"/>
      <c r="AT116" s="4"/>
      <c r="AU116" s="4"/>
      <c r="AV116" s="4"/>
      <c r="AW116" s="4"/>
      <c r="AX116" s="4"/>
      <c r="AY116" s="4"/>
      <c r="AZ116" s="4"/>
      <c r="BA116" s="4"/>
      <c r="BB116" s="4"/>
      <c r="BC116" s="135"/>
      <c r="BD116" s="4"/>
      <c r="BE116" s="4"/>
      <c r="BF116" s="4"/>
      <c r="BG116" s="4"/>
      <c r="BH116" s="4"/>
      <c r="BI116" s="4"/>
      <c r="BJ116" s="4"/>
      <c r="BK116" s="4"/>
      <c r="BL116" s="4"/>
      <c r="BM116" s="4"/>
      <c r="BN116" s="4"/>
      <c r="BO116" s="135"/>
      <c r="BP116" s="135"/>
      <c r="BQ116" s="135"/>
      <c r="BR116" s="4"/>
      <c r="BS116" s="4"/>
      <c r="BT116" s="118"/>
      <c r="BU116" s="4"/>
      <c r="BV116" s="4"/>
      <c r="BW116" s="4"/>
      <c r="BX116" s="4"/>
      <c r="BY116" s="4"/>
      <c r="BZ116" s="4"/>
      <c r="CA116" s="118"/>
      <c r="CB116" s="4"/>
      <c r="CC116" s="4"/>
      <c r="CD116" s="4"/>
      <c r="CE116" s="135"/>
      <c r="CF116" s="135"/>
      <c r="CG116" s="135"/>
      <c r="CH116" s="135"/>
      <c r="CI116" s="135"/>
      <c r="CJ116" s="135"/>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118"/>
      <c r="DU116" s="4"/>
      <c r="DV116" s="4"/>
      <c r="DW116" s="4"/>
      <c r="DX116" s="4"/>
      <c r="DY116" s="4"/>
      <c r="DZ116" s="4"/>
      <c r="EA116" s="4"/>
      <c r="EB116" s="4"/>
      <c r="EC116" s="4"/>
    </row>
    <row r="117" spans="1:133" s="1" customFormat="1" ht="30" customHeight="1" thickBot="1" x14ac:dyDescent="0.35">
      <c r="A117" s="7"/>
      <c r="B117" s="18" t="s">
        <v>103</v>
      </c>
      <c r="C117" s="15" t="s">
        <v>246</v>
      </c>
      <c r="D117" s="35"/>
      <c r="E117" s="61">
        <v>46338</v>
      </c>
      <c r="F117" s="61">
        <v>46338</v>
      </c>
      <c r="G117" s="31">
        <f t="shared" si="56"/>
        <v>1</v>
      </c>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118"/>
      <c r="AM117" s="4"/>
      <c r="AN117" s="4"/>
      <c r="AO117" s="4"/>
      <c r="AP117" s="4"/>
      <c r="AQ117" s="135"/>
      <c r="AR117" s="4"/>
      <c r="AS117" s="4"/>
      <c r="AT117" s="4"/>
      <c r="AU117" s="4"/>
      <c r="AV117" s="4"/>
      <c r="AW117" s="4"/>
      <c r="AX117" s="4"/>
      <c r="AY117" s="4"/>
      <c r="AZ117" s="4"/>
      <c r="BA117" s="4"/>
      <c r="BB117" s="4"/>
      <c r="BC117" s="135"/>
      <c r="BD117" s="4"/>
      <c r="BE117" s="4"/>
      <c r="BF117" s="4"/>
      <c r="BG117" s="4"/>
      <c r="BH117" s="4"/>
      <c r="BI117" s="4"/>
      <c r="BJ117" s="4"/>
      <c r="BK117" s="4"/>
      <c r="BL117" s="4"/>
      <c r="BM117" s="4"/>
      <c r="BN117" s="4"/>
      <c r="BO117" s="135"/>
      <c r="BP117" s="135"/>
      <c r="BQ117" s="135"/>
      <c r="BR117" s="4"/>
      <c r="BS117" s="4"/>
      <c r="BT117" s="118"/>
      <c r="BU117" s="4"/>
      <c r="BV117" s="4"/>
      <c r="BW117" s="4"/>
      <c r="BX117" s="4"/>
      <c r="BY117" s="4"/>
      <c r="BZ117" s="4"/>
      <c r="CA117" s="118"/>
      <c r="CB117" s="4"/>
      <c r="CC117" s="4"/>
      <c r="CD117" s="4"/>
      <c r="CE117" s="135"/>
      <c r="CF117" s="135"/>
      <c r="CG117" s="135"/>
      <c r="CH117" s="135"/>
      <c r="CI117" s="135"/>
      <c r="CJ117" s="135"/>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118"/>
      <c r="DU117" s="4"/>
      <c r="DV117" s="4"/>
      <c r="DW117" s="4"/>
      <c r="DX117" s="4"/>
      <c r="DY117" s="4"/>
      <c r="DZ117" s="4"/>
      <c r="EA117" s="4"/>
      <c r="EB117" s="4"/>
      <c r="EC117" s="4"/>
    </row>
    <row r="118" spans="1:133" s="1" customFormat="1" ht="30" customHeight="1" thickBot="1" x14ac:dyDescent="0.35">
      <c r="A118" s="7"/>
      <c r="B118" s="18" t="s">
        <v>106</v>
      </c>
      <c r="C118" s="15" t="s">
        <v>246</v>
      </c>
      <c r="D118" s="35"/>
      <c r="E118" s="61">
        <v>46339</v>
      </c>
      <c r="F118" s="61">
        <v>46339</v>
      </c>
      <c r="G118" s="31">
        <f t="shared" si="56"/>
        <v>1</v>
      </c>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118"/>
      <c r="AM118" s="4"/>
      <c r="AN118" s="4"/>
      <c r="AO118" s="4"/>
      <c r="AP118" s="4"/>
      <c r="AQ118" s="135"/>
      <c r="AR118" s="4"/>
      <c r="AS118" s="4"/>
      <c r="AT118" s="4"/>
      <c r="AU118" s="4"/>
      <c r="AV118" s="4"/>
      <c r="AW118" s="4"/>
      <c r="AX118" s="4"/>
      <c r="AY118" s="4"/>
      <c r="AZ118" s="4"/>
      <c r="BA118" s="4"/>
      <c r="BB118" s="4"/>
      <c r="BC118" s="135"/>
      <c r="BD118" s="4"/>
      <c r="BE118" s="4"/>
      <c r="BF118" s="4"/>
      <c r="BG118" s="4"/>
      <c r="BH118" s="4"/>
      <c r="BI118" s="4"/>
      <c r="BJ118" s="4"/>
      <c r="BK118" s="4"/>
      <c r="BL118" s="4"/>
      <c r="BM118" s="4"/>
      <c r="BN118" s="4"/>
      <c r="BO118" s="135"/>
      <c r="BP118" s="135"/>
      <c r="BQ118" s="135"/>
      <c r="BR118" s="4"/>
      <c r="BS118" s="4"/>
      <c r="BT118" s="118"/>
      <c r="BU118" s="4"/>
      <c r="BV118" s="4"/>
      <c r="BW118" s="4"/>
      <c r="BX118" s="4"/>
      <c r="BY118" s="4"/>
      <c r="BZ118" s="4"/>
      <c r="CA118" s="118"/>
      <c r="CB118" s="4"/>
      <c r="CC118" s="4"/>
      <c r="CD118" s="4"/>
      <c r="CE118" s="135"/>
      <c r="CF118" s="135"/>
      <c r="CG118" s="135"/>
      <c r="CH118" s="135"/>
      <c r="CI118" s="135"/>
      <c r="CJ118" s="135"/>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118"/>
      <c r="DU118" s="4"/>
      <c r="DV118" s="4"/>
      <c r="DW118" s="4"/>
      <c r="DX118" s="4"/>
      <c r="DY118" s="4"/>
      <c r="DZ118" s="4"/>
      <c r="EA118" s="4"/>
      <c r="EB118" s="4"/>
      <c r="EC118" s="4"/>
    </row>
    <row r="119" spans="1:133" s="1" customFormat="1" ht="30" customHeight="1" thickBot="1" x14ac:dyDescent="0.35">
      <c r="A119" s="7"/>
      <c r="B119" s="18" t="s">
        <v>108</v>
      </c>
      <c r="C119" s="15" t="s">
        <v>246</v>
      </c>
      <c r="D119" s="35"/>
      <c r="E119" s="61">
        <v>46339</v>
      </c>
      <c r="F119" s="61">
        <v>46339</v>
      </c>
      <c r="G119" s="31">
        <f t="shared" si="56"/>
        <v>1</v>
      </c>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118"/>
      <c r="AM119" s="4"/>
      <c r="AN119" s="4"/>
      <c r="AO119" s="4"/>
      <c r="AP119" s="4"/>
      <c r="AQ119" s="135"/>
      <c r="AR119" s="4"/>
      <c r="AS119" s="4"/>
      <c r="AT119" s="4"/>
      <c r="AU119" s="4"/>
      <c r="AV119" s="4"/>
      <c r="AW119" s="4"/>
      <c r="AX119" s="4"/>
      <c r="AY119" s="4"/>
      <c r="AZ119" s="4"/>
      <c r="BA119" s="4"/>
      <c r="BB119" s="4"/>
      <c r="BC119" s="135"/>
      <c r="BD119" s="4"/>
      <c r="BE119" s="4"/>
      <c r="BF119" s="4"/>
      <c r="BG119" s="4"/>
      <c r="BH119" s="4"/>
      <c r="BI119" s="4"/>
      <c r="BJ119" s="4"/>
      <c r="BK119" s="4"/>
      <c r="BL119" s="4"/>
      <c r="BM119" s="4"/>
      <c r="BN119" s="4"/>
      <c r="BO119" s="135"/>
      <c r="BP119" s="135"/>
      <c r="BQ119" s="135"/>
      <c r="BR119" s="4"/>
      <c r="BS119" s="4"/>
      <c r="BT119" s="118"/>
      <c r="BU119" s="4"/>
      <c r="BV119" s="4"/>
      <c r="BW119" s="4"/>
      <c r="BX119" s="4"/>
      <c r="BY119" s="4"/>
      <c r="BZ119" s="4"/>
      <c r="CA119" s="118"/>
      <c r="CB119" s="4"/>
      <c r="CC119" s="4"/>
      <c r="CD119" s="4"/>
      <c r="CE119" s="135"/>
      <c r="CF119" s="135"/>
      <c r="CG119" s="135"/>
      <c r="CH119" s="135"/>
      <c r="CI119" s="135"/>
      <c r="CJ119" s="135"/>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118"/>
      <c r="DU119" s="4"/>
      <c r="DV119" s="4"/>
      <c r="DW119" s="4"/>
      <c r="DX119" s="4"/>
      <c r="DY119" s="4"/>
      <c r="DZ119" s="4"/>
      <c r="EA119" s="4"/>
      <c r="EB119" s="4"/>
      <c r="EC119" s="4"/>
    </row>
    <row r="120" spans="1:133" s="1" customFormat="1" ht="30" customHeight="1" thickBot="1" x14ac:dyDescent="0.35">
      <c r="A120" s="7"/>
      <c r="B120" s="18" t="s">
        <v>111</v>
      </c>
      <c r="C120" s="15" t="s">
        <v>246</v>
      </c>
      <c r="D120" s="35"/>
      <c r="E120" s="61">
        <v>46339</v>
      </c>
      <c r="F120" s="61">
        <v>46339</v>
      </c>
      <c r="G120" s="31">
        <f t="shared" si="56"/>
        <v>1</v>
      </c>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118"/>
      <c r="AM120" s="4"/>
      <c r="AN120" s="4"/>
      <c r="AO120" s="4"/>
      <c r="AP120" s="4"/>
      <c r="AQ120" s="135"/>
      <c r="AR120" s="4"/>
      <c r="AS120" s="4"/>
      <c r="AT120" s="4"/>
      <c r="AU120" s="4"/>
      <c r="AV120" s="4"/>
      <c r="AW120" s="4"/>
      <c r="AX120" s="4"/>
      <c r="AY120" s="4"/>
      <c r="AZ120" s="4"/>
      <c r="BA120" s="4"/>
      <c r="BB120" s="4"/>
      <c r="BC120" s="135"/>
      <c r="BD120" s="4"/>
      <c r="BE120" s="4"/>
      <c r="BF120" s="4"/>
      <c r="BG120" s="4"/>
      <c r="BH120" s="4"/>
      <c r="BI120" s="4"/>
      <c r="BJ120" s="4"/>
      <c r="BK120" s="4"/>
      <c r="BL120" s="4"/>
      <c r="BM120" s="4"/>
      <c r="BN120" s="4"/>
      <c r="BO120" s="135"/>
      <c r="BP120" s="135"/>
      <c r="BQ120" s="135"/>
      <c r="BR120" s="4"/>
      <c r="BS120" s="4"/>
      <c r="BT120" s="118"/>
      <c r="BU120" s="4"/>
      <c r="BV120" s="4"/>
      <c r="BW120" s="4"/>
      <c r="BX120" s="4"/>
      <c r="BY120" s="4"/>
      <c r="BZ120" s="4"/>
      <c r="CA120" s="118"/>
      <c r="CB120" s="4"/>
      <c r="CC120" s="4"/>
      <c r="CD120" s="4"/>
      <c r="CE120" s="135"/>
      <c r="CF120" s="135"/>
      <c r="CG120" s="135"/>
      <c r="CH120" s="135"/>
      <c r="CI120" s="135"/>
      <c r="CJ120" s="135"/>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118"/>
      <c r="DU120" s="4"/>
      <c r="DV120" s="4"/>
      <c r="DW120" s="4"/>
      <c r="DX120" s="4"/>
      <c r="DY120" s="4"/>
      <c r="DZ120" s="4"/>
      <c r="EA120" s="4"/>
      <c r="EB120" s="4"/>
      <c r="EC120" s="4"/>
    </row>
    <row r="121" spans="1:133" s="1" customFormat="1" ht="30" customHeight="1" thickBot="1" x14ac:dyDescent="0.35">
      <c r="A121" s="7"/>
      <c r="B121" s="18" t="s">
        <v>121</v>
      </c>
      <c r="C121" s="15" t="s">
        <v>246</v>
      </c>
      <c r="D121" s="35"/>
      <c r="E121" s="61">
        <v>46339</v>
      </c>
      <c r="F121" s="61">
        <v>46339</v>
      </c>
      <c r="G121" s="31">
        <f t="shared" si="56"/>
        <v>1</v>
      </c>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118"/>
      <c r="AM121" s="4"/>
      <c r="AN121" s="4"/>
      <c r="AO121" s="4"/>
      <c r="AP121" s="4"/>
      <c r="AQ121" s="135"/>
      <c r="AR121" s="4"/>
      <c r="AS121" s="4"/>
      <c r="AT121" s="4"/>
      <c r="AU121" s="4"/>
      <c r="AV121" s="4"/>
      <c r="AW121" s="4"/>
      <c r="AX121" s="4"/>
      <c r="AY121" s="4"/>
      <c r="AZ121" s="4"/>
      <c r="BA121" s="4"/>
      <c r="BB121" s="4"/>
      <c r="BC121" s="135"/>
      <c r="BD121" s="4"/>
      <c r="BE121" s="4"/>
      <c r="BF121" s="4"/>
      <c r="BG121" s="4"/>
      <c r="BH121" s="4"/>
      <c r="BI121" s="4"/>
      <c r="BJ121" s="4"/>
      <c r="BK121" s="4"/>
      <c r="BL121" s="4"/>
      <c r="BM121" s="4"/>
      <c r="BN121" s="4"/>
      <c r="BO121" s="135"/>
      <c r="BP121" s="135"/>
      <c r="BQ121" s="135"/>
      <c r="BR121" s="4"/>
      <c r="BS121" s="4"/>
      <c r="BT121" s="118"/>
      <c r="BU121" s="4"/>
      <c r="BV121" s="4"/>
      <c r="BW121" s="4"/>
      <c r="BX121" s="4"/>
      <c r="BY121" s="4"/>
      <c r="BZ121" s="4"/>
      <c r="CA121" s="118"/>
      <c r="CB121" s="4"/>
      <c r="CC121" s="4"/>
      <c r="CD121" s="4"/>
      <c r="CE121" s="135"/>
      <c r="CF121" s="135"/>
      <c r="CG121" s="135"/>
      <c r="CH121" s="135"/>
      <c r="CI121" s="135"/>
      <c r="CJ121" s="135"/>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118"/>
      <c r="DU121" s="4"/>
      <c r="DV121" s="4"/>
      <c r="DW121" s="4"/>
      <c r="DX121" s="4"/>
      <c r="DY121" s="4"/>
      <c r="DZ121" s="4"/>
      <c r="EA121" s="4"/>
      <c r="EB121" s="4"/>
      <c r="EC121" s="4"/>
    </row>
    <row r="122" spans="1:133" s="1" customFormat="1" ht="30" customHeight="1" thickBot="1" x14ac:dyDescent="0.35">
      <c r="A122" s="7"/>
      <c r="B122" s="18" t="s">
        <v>122</v>
      </c>
      <c r="C122" s="15" t="s">
        <v>246</v>
      </c>
      <c r="D122" s="35"/>
      <c r="E122" s="61">
        <v>46340</v>
      </c>
      <c r="F122" s="61">
        <v>46340</v>
      </c>
      <c r="G122" s="31">
        <f t="shared" si="56"/>
        <v>1</v>
      </c>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118"/>
      <c r="AM122" s="4"/>
      <c r="AN122" s="4"/>
      <c r="AO122" s="4"/>
      <c r="AP122" s="4"/>
      <c r="AQ122" s="135"/>
      <c r="AR122" s="4"/>
      <c r="AS122" s="4"/>
      <c r="AT122" s="4"/>
      <c r="AU122" s="4"/>
      <c r="AV122" s="4"/>
      <c r="AW122" s="4"/>
      <c r="AX122" s="4"/>
      <c r="AY122" s="4"/>
      <c r="AZ122" s="4"/>
      <c r="BA122" s="4"/>
      <c r="BB122" s="4"/>
      <c r="BC122" s="135"/>
      <c r="BD122" s="4"/>
      <c r="BE122" s="4"/>
      <c r="BF122" s="4"/>
      <c r="BG122" s="4"/>
      <c r="BH122" s="4"/>
      <c r="BI122" s="4"/>
      <c r="BJ122" s="4"/>
      <c r="BK122" s="4"/>
      <c r="BL122" s="4"/>
      <c r="BM122" s="4"/>
      <c r="BN122" s="4"/>
      <c r="BO122" s="135"/>
      <c r="BP122" s="135"/>
      <c r="BQ122" s="135"/>
      <c r="BR122" s="4"/>
      <c r="BS122" s="4"/>
      <c r="BT122" s="118"/>
      <c r="BU122" s="4"/>
      <c r="BV122" s="4"/>
      <c r="BW122" s="4"/>
      <c r="BX122" s="4"/>
      <c r="BY122" s="4"/>
      <c r="BZ122" s="4"/>
      <c r="CA122" s="118"/>
      <c r="CB122" s="4"/>
      <c r="CC122" s="4"/>
      <c r="CD122" s="4"/>
      <c r="CE122" s="135"/>
      <c r="CF122" s="135"/>
      <c r="CG122" s="135"/>
      <c r="CH122" s="135"/>
      <c r="CI122" s="135"/>
      <c r="CJ122" s="135"/>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118"/>
      <c r="DU122" s="4"/>
      <c r="DV122" s="4"/>
      <c r="DW122" s="4"/>
      <c r="DX122" s="4"/>
      <c r="DY122" s="4"/>
      <c r="DZ122" s="4"/>
      <c r="EA122" s="4"/>
      <c r="EB122" s="4"/>
      <c r="EC122" s="4"/>
    </row>
    <row r="123" spans="1:133" s="1" customFormat="1" ht="30" customHeight="1" thickBot="1" x14ac:dyDescent="0.35">
      <c r="A123" s="7"/>
      <c r="B123" s="18" t="s">
        <v>123</v>
      </c>
      <c r="C123" s="15" t="s">
        <v>246</v>
      </c>
      <c r="D123" s="35"/>
      <c r="E123" s="61">
        <v>46340</v>
      </c>
      <c r="F123" s="61">
        <v>46340</v>
      </c>
      <c r="G123" s="31">
        <f t="shared" si="56"/>
        <v>1</v>
      </c>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118"/>
      <c r="AM123" s="4"/>
      <c r="AN123" s="4"/>
      <c r="AO123" s="4"/>
      <c r="AP123" s="4"/>
      <c r="AQ123" s="135"/>
      <c r="AR123" s="4"/>
      <c r="AS123" s="4"/>
      <c r="AT123" s="4"/>
      <c r="AU123" s="4"/>
      <c r="AV123" s="4"/>
      <c r="AW123" s="4"/>
      <c r="AX123" s="4"/>
      <c r="AY123" s="4"/>
      <c r="AZ123" s="4"/>
      <c r="BA123" s="4"/>
      <c r="BB123" s="4"/>
      <c r="BC123" s="135"/>
      <c r="BD123" s="4"/>
      <c r="BE123" s="4"/>
      <c r="BF123" s="4"/>
      <c r="BG123" s="4"/>
      <c r="BH123" s="4"/>
      <c r="BI123" s="4"/>
      <c r="BJ123" s="4"/>
      <c r="BK123" s="4"/>
      <c r="BL123" s="4"/>
      <c r="BM123" s="4"/>
      <c r="BN123" s="4"/>
      <c r="BO123" s="135"/>
      <c r="BP123" s="135"/>
      <c r="BQ123" s="135"/>
      <c r="BR123" s="4"/>
      <c r="BS123" s="4"/>
      <c r="BT123" s="118"/>
      <c r="BU123" s="4"/>
      <c r="BV123" s="4"/>
      <c r="BW123" s="4"/>
      <c r="BX123" s="4"/>
      <c r="BY123" s="4"/>
      <c r="BZ123" s="4"/>
      <c r="CA123" s="118"/>
      <c r="CB123" s="4"/>
      <c r="CC123" s="4"/>
      <c r="CD123" s="4"/>
      <c r="CE123" s="135"/>
      <c r="CF123" s="135"/>
      <c r="CG123" s="135"/>
      <c r="CH123" s="135"/>
      <c r="CI123" s="135"/>
      <c r="CJ123" s="135"/>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118"/>
      <c r="DU123" s="4"/>
      <c r="DV123" s="4"/>
      <c r="DW123" s="4"/>
      <c r="DX123" s="4"/>
      <c r="DY123" s="4"/>
      <c r="DZ123" s="4"/>
      <c r="EA123" s="4"/>
      <c r="EB123" s="4"/>
      <c r="EC123" s="4"/>
    </row>
    <row r="124" spans="1:133" s="1" customFormat="1" ht="30" customHeight="1" thickBot="1" x14ac:dyDescent="0.35">
      <c r="A124" s="7"/>
      <c r="B124" s="18" t="s">
        <v>124</v>
      </c>
      <c r="C124" s="15" t="s">
        <v>246</v>
      </c>
      <c r="D124" s="35"/>
      <c r="E124" s="61">
        <v>46340</v>
      </c>
      <c r="F124" s="61">
        <v>46340</v>
      </c>
      <c r="G124" s="31">
        <f t="shared" si="56"/>
        <v>1</v>
      </c>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118"/>
      <c r="AM124" s="4"/>
      <c r="AN124" s="4"/>
      <c r="AO124" s="4"/>
      <c r="AP124" s="4"/>
      <c r="AQ124" s="135"/>
      <c r="AR124" s="4"/>
      <c r="AS124" s="4"/>
      <c r="AT124" s="4"/>
      <c r="AU124" s="4"/>
      <c r="AV124" s="4"/>
      <c r="AW124" s="4"/>
      <c r="AX124" s="4"/>
      <c r="AY124" s="4"/>
      <c r="AZ124" s="4"/>
      <c r="BA124" s="4"/>
      <c r="BB124" s="4"/>
      <c r="BC124" s="135"/>
      <c r="BD124" s="4"/>
      <c r="BE124" s="4"/>
      <c r="BF124" s="4"/>
      <c r="BG124" s="4"/>
      <c r="BH124" s="4"/>
      <c r="BI124" s="4"/>
      <c r="BJ124" s="4"/>
      <c r="BK124" s="4"/>
      <c r="BL124" s="4"/>
      <c r="BM124" s="4"/>
      <c r="BN124" s="4"/>
      <c r="BO124" s="135"/>
      <c r="BP124" s="135"/>
      <c r="BQ124" s="135"/>
      <c r="BR124" s="4"/>
      <c r="BS124" s="4"/>
      <c r="BT124" s="118"/>
      <c r="BU124" s="4"/>
      <c r="BV124" s="4"/>
      <c r="BW124" s="4"/>
      <c r="BX124" s="4"/>
      <c r="BY124" s="4"/>
      <c r="BZ124" s="4"/>
      <c r="CA124" s="118"/>
      <c r="CB124" s="4"/>
      <c r="CC124" s="4"/>
      <c r="CD124" s="4"/>
      <c r="CE124" s="135"/>
      <c r="CF124" s="135"/>
      <c r="CG124" s="135"/>
      <c r="CH124" s="135"/>
      <c r="CI124" s="135"/>
      <c r="CJ124" s="135"/>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118"/>
      <c r="DU124" s="4"/>
      <c r="DV124" s="4"/>
      <c r="DW124" s="4"/>
      <c r="DX124" s="4"/>
      <c r="DY124" s="4"/>
      <c r="DZ124" s="4"/>
      <c r="EA124" s="4"/>
      <c r="EB124" s="4"/>
      <c r="EC124" s="4"/>
    </row>
    <row r="125" spans="1:133" s="1" customFormat="1" ht="30" customHeight="1" thickBot="1" x14ac:dyDescent="0.35">
      <c r="A125" s="7"/>
      <c r="B125" s="18" t="s">
        <v>125</v>
      </c>
      <c r="C125" s="15" t="s">
        <v>246</v>
      </c>
      <c r="D125" s="35"/>
      <c r="E125" s="61">
        <v>46340</v>
      </c>
      <c r="F125" s="61">
        <v>46340</v>
      </c>
      <c r="G125" s="31">
        <f t="shared" si="56"/>
        <v>1</v>
      </c>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118"/>
      <c r="AM125" s="4"/>
      <c r="AN125" s="4"/>
      <c r="AO125" s="4"/>
      <c r="AP125" s="4"/>
      <c r="AQ125" s="135"/>
      <c r="AR125" s="4"/>
      <c r="AS125" s="4"/>
      <c r="AT125" s="4"/>
      <c r="AU125" s="4"/>
      <c r="AV125" s="4"/>
      <c r="AW125" s="4"/>
      <c r="AX125" s="4"/>
      <c r="AY125" s="4"/>
      <c r="AZ125" s="4"/>
      <c r="BA125" s="4"/>
      <c r="BB125" s="4"/>
      <c r="BC125" s="135"/>
      <c r="BD125" s="4"/>
      <c r="BE125" s="4"/>
      <c r="BF125" s="4"/>
      <c r="BG125" s="4"/>
      <c r="BH125" s="4"/>
      <c r="BI125" s="4"/>
      <c r="BJ125" s="4"/>
      <c r="BK125" s="4"/>
      <c r="BL125" s="4"/>
      <c r="BM125" s="4"/>
      <c r="BN125" s="4"/>
      <c r="BO125" s="135"/>
      <c r="BP125" s="135"/>
      <c r="BQ125" s="135"/>
      <c r="BR125" s="4"/>
      <c r="BS125" s="4"/>
      <c r="BT125" s="118"/>
      <c r="BU125" s="4"/>
      <c r="BV125" s="4"/>
      <c r="BW125" s="4"/>
      <c r="BX125" s="4"/>
      <c r="BY125" s="4"/>
      <c r="BZ125" s="4"/>
      <c r="CA125" s="118"/>
      <c r="CB125" s="4"/>
      <c r="CC125" s="4"/>
      <c r="CD125" s="4"/>
      <c r="CE125" s="135"/>
      <c r="CF125" s="135"/>
      <c r="CG125" s="135"/>
      <c r="CH125" s="135"/>
      <c r="CI125" s="135"/>
      <c r="CJ125" s="135"/>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118"/>
      <c r="DU125" s="4"/>
      <c r="DV125" s="4"/>
      <c r="DW125" s="4"/>
      <c r="DX125" s="4"/>
      <c r="DY125" s="4"/>
      <c r="DZ125" s="4"/>
      <c r="EA125" s="4"/>
      <c r="EB125" s="4"/>
      <c r="EC125" s="4"/>
    </row>
    <row r="126" spans="1:133" s="1" customFormat="1" ht="30" customHeight="1" thickBot="1" x14ac:dyDescent="0.35">
      <c r="A126" s="7" t="s">
        <v>11</v>
      </c>
      <c r="B126" s="33" t="s">
        <v>95</v>
      </c>
      <c r="C126" s="14"/>
      <c r="D126" s="34"/>
      <c r="E126" s="59"/>
      <c r="F126" s="60"/>
      <c r="G126" s="31" t="str">
        <f t="shared" si="56"/>
        <v/>
      </c>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118"/>
      <c r="AM126" s="4"/>
      <c r="AN126" s="4"/>
      <c r="AO126" s="4"/>
      <c r="AP126" s="4"/>
      <c r="AQ126" s="135"/>
      <c r="AR126" s="4"/>
      <c r="AS126" s="4"/>
      <c r="AT126" s="4"/>
      <c r="AU126" s="4"/>
      <c r="AV126" s="4"/>
      <c r="AW126" s="4"/>
      <c r="AX126" s="4"/>
      <c r="AY126" s="4"/>
      <c r="AZ126" s="4"/>
      <c r="BA126" s="4"/>
      <c r="BB126" s="4"/>
      <c r="BC126" s="135"/>
      <c r="BD126" s="4"/>
      <c r="BE126" s="4"/>
      <c r="BF126" s="4"/>
      <c r="BG126" s="4"/>
      <c r="BH126" s="4"/>
      <c r="BI126" s="4"/>
      <c r="BJ126" s="4"/>
      <c r="BK126" s="4"/>
      <c r="BL126" s="4"/>
      <c r="BM126" s="4"/>
      <c r="BN126" s="4"/>
      <c r="BO126" s="135"/>
      <c r="BP126" s="135"/>
      <c r="BQ126" s="135"/>
      <c r="BR126" s="4"/>
      <c r="BS126" s="4"/>
      <c r="BT126" s="118"/>
      <c r="BU126" s="4"/>
      <c r="BV126" s="4"/>
      <c r="BW126" s="4"/>
      <c r="BX126" s="4"/>
      <c r="BY126" s="4"/>
      <c r="BZ126" s="4"/>
      <c r="CA126" s="118"/>
      <c r="CB126" s="4"/>
      <c r="CC126" s="4"/>
      <c r="CD126" s="4"/>
      <c r="CE126" s="135"/>
      <c r="CF126" s="135"/>
      <c r="CG126" s="135"/>
      <c r="CH126" s="135"/>
      <c r="CI126" s="135"/>
      <c r="CJ126" s="135"/>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118"/>
      <c r="DU126" s="4"/>
      <c r="DV126" s="4"/>
      <c r="DW126" s="4"/>
      <c r="DX126" s="4"/>
      <c r="DY126" s="4"/>
      <c r="DZ126" s="4"/>
      <c r="EA126" s="4"/>
      <c r="EB126" s="4"/>
      <c r="EC126" s="4"/>
    </row>
    <row r="127" spans="1:133" s="1" customFormat="1" ht="30" customHeight="1" thickBot="1" x14ac:dyDescent="0.35">
      <c r="A127" s="7"/>
      <c r="B127" s="18" t="s">
        <v>39</v>
      </c>
      <c r="C127" s="15" t="s">
        <v>246</v>
      </c>
      <c r="D127" s="35"/>
      <c r="E127" s="61">
        <v>46342</v>
      </c>
      <c r="F127" s="61">
        <v>46342</v>
      </c>
      <c r="G127" s="31">
        <f t="shared" si="56"/>
        <v>1</v>
      </c>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118"/>
      <c r="AM127" s="4"/>
      <c r="AN127" s="4"/>
      <c r="AO127" s="4"/>
      <c r="AP127" s="4"/>
      <c r="AQ127" s="135"/>
      <c r="AR127" s="4"/>
      <c r="AS127" s="4"/>
      <c r="AT127" s="4"/>
      <c r="AU127" s="4"/>
      <c r="AV127" s="4"/>
      <c r="AW127" s="4"/>
      <c r="AX127" s="4"/>
      <c r="AY127" s="4"/>
      <c r="AZ127" s="4"/>
      <c r="BA127" s="4"/>
      <c r="BB127" s="4"/>
      <c r="BC127" s="135"/>
      <c r="BD127" s="4"/>
      <c r="BE127" s="4"/>
      <c r="BF127" s="4"/>
      <c r="BG127" s="4"/>
      <c r="BH127" s="4"/>
      <c r="BI127" s="4"/>
      <c r="BJ127" s="4"/>
      <c r="BK127" s="4"/>
      <c r="BL127" s="4"/>
      <c r="BM127" s="4"/>
      <c r="BN127" s="4"/>
      <c r="BO127" s="135"/>
      <c r="BP127" s="135"/>
      <c r="BQ127" s="135"/>
      <c r="BR127" s="4"/>
      <c r="BS127" s="4"/>
      <c r="BT127" s="118"/>
      <c r="BU127" s="4"/>
      <c r="BV127" s="4"/>
      <c r="BW127" s="4"/>
      <c r="BX127" s="4"/>
      <c r="BY127" s="4"/>
      <c r="BZ127" s="4"/>
      <c r="CA127" s="118"/>
      <c r="CB127" s="4"/>
      <c r="CC127" s="4"/>
      <c r="CD127" s="4"/>
      <c r="CE127" s="135"/>
      <c r="CF127" s="135"/>
      <c r="CG127" s="135"/>
      <c r="CH127" s="135"/>
      <c r="CI127" s="135"/>
      <c r="CJ127" s="135"/>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118"/>
      <c r="DU127" s="4"/>
      <c r="DV127" s="4"/>
      <c r="DW127" s="4"/>
      <c r="DX127" s="4"/>
      <c r="DY127" s="4"/>
      <c r="DZ127" s="4"/>
      <c r="EA127" s="4"/>
      <c r="EB127" s="4"/>
      <c r="EC127" s="4"/>
    </row>
    <row r="128" spans="1:133" s="1" customFormat="1" ht="30" customHeight="1" thickBot="1" x14ac:dyDescent="0.35">
      <c r="A128" s="7"/>
      <c r="B128" s="18" t="s">
        <v>40</v>
      </c>
      <c r="C128" s="15" t="s">
        <v>246</v>
      </c>
      <c r="D128" s="35"/>
      <c r="E128" s="61">
        <v>46342</v>
      </c>
      <c r="F128" s="61">
        <v>46342</v>
      </c>
      <c r="G128" s="31">
        <f t="shared" si="56"/>
        <v>1</v>
      </c>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118"/>
      <c r="AM128" s="4"/>
      <c r="AN128" s="4"/>
      <c r="AO128" s="4"/>
      <c r="AP128" s="4"/>
      <c r="AQ128" s="135"/>
      <c r="AR128" s="4"/>
      <c r="AS128" s="4"/>
      <c r="AT128" s="4"/>
      <c r="AU128" s="4"/>
      <c r="AV128" s="4"/>
      <c r="AW128" s="4"/>
      <c r="AX128" s="4"/>
      <c r="AY128" s="4"/>
      <c r="AZ128" s="4"/>
      <c r="BA128" s="4"/>
      <c r="BB128" s="4"/>
      <c r="BC128" s="135"/>
      <c r="BD128" s="4"/>
      <c r="BE128" s="4"/>
      <c r="BF128" s="4"/>
      <c r="BG128" s="4"/>
      <c r="BH128" s="4"/>
      <c r="BI128" s="4"/>
      <c r="BJ128" s="4"/>
      <c r="BK128" s="4"/>
      <c r="BL128" s="4"/>
      <c r="BM128" s="4"/>
      <c r="BN128" s="4"/>
      <c r="BO128" s="135"/>
      <c r="BP128" s="135"/>
      <c r="BQ128" s="135"/>
      <c r="BR128" s="4"/>
      <c r="BS128" s="4"/>
      <c r="BT128" s="118"/>
      <c r="BU128" s="4"/>
      <c r="BV128" s="4"/>
      <c r="BW128" s="4"/>
      <c r="BX128" s="4"/>
      <c r="BY128" s="4"/>
      <c r="BZ128" s="4"/>
      <c r="CA128" s="118"/>
      <c r="CB128" s="4"/>
      <c r="CC128" s="4"/>
      <c r="CD128" s="4"/>
      <c r="CE128" s="135"/>
      <c r="CF128" s="135"/>
      <c r="CG128" s="135"/>
      <c r="CH128" s="135"/>
      <c r="CI128" s="135"/>
      <c r="CJ128" s="135"/>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118"/>
      <c r="DU128" s="4"/>
      <c r="DV128" s="4"/>
      <c r="DW128" s="4"/>
      <c r="DX128" s="4"/>
      <c r="DY128" s="4"/>
      <c r="DZ128" s="4"/>
      <c r="EA128" s="4"/>
      <c r="EB128" s="4"/>
      <c r="EC128" s="4"/>
    </row>
    <row r="129" spans="1:133" s="1" customFormat="1" ht="30" customHeight="1" thickBot="1" x14ac:dyDescent="0.35">
      <c r="A129" s="7"/>
      <c r="B129" s="18" t="s">
        <v>41</v>
      </c>
      <c r="C129" s="15" t="s">
        <v>246</v>
      </c>
      <c r="D129" s="35"/>
      <c r="E129" s="61">
        <v>46342</v>
      </c>
      <c r="F129" s="61">
        <v>46342</v>
      </c>
      <c r="G129" s="31">
        <f t="shared" si="56"/>
        <v>1</v>
      </c>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118"/>
      <c r="AM129" s="4"/>
      <c r="AN129" s="4"/>
      <c r="AO129" s="4"/>
      <c r="AP129" s="4"/>
      <c r="AQ129" s="135"/>
      <c r="AR129" s="4"/>
      <c r="AS129" s="4"/>
      <c r="AT129" s="4"/>
      <c r="AU129" s="4"/>
      <c r="AV129" s="4"/>
      <c r="AW129" s="4"/>
      <c r="AX129" s="4"/>
      <c r="AY129" s="4"/>
      <c r="AZ129" s="4"/>
      <c r="BA129" s="4"/>
      <c r="BB129" s="4"/>
      <c r="BC129" s="135"/>
      <c r="BD129" s="4"/>
      <c r="BE129" s="4"/>
      <c r="BF129" s="4"/>
      <c r="BG129" s="4"/>
      <c r="BH129" s="4"/>
      <c r="BI129" s="4"/>
      <c r="BJ129" s="4"/>
      <c r="BK129" s="4"/>
      <c r="BL129" s="4"/>
      <c r="BM129" s="4"/>
      <c r="BN129" s="4"/>
      <c r="BO129" s="135"/>
      <c r="BP129" s="135"/>
      <c r="BQ129" s="135"/>
      <c r="BR129" s="4"/>
      <c r="BS129" s="4"/>
      <c r="BT129" s="118"/>
      <c r="BU129" s="4"/>
      <c r="BV129" s="4"/>
      <c r="BW129" s="4"/>
      <c r="BX129" s="4"/>
      <c r="BY129" s="4"/>
      <c r="BZ129" s="4"/>
      <c r="CA129" s="118"/>
      <c r="CB129" s="4"/>
      <c r="CC129" s="4"/>
      <c r="CD129" s="4"/>
      <c r="CE129" s="135"/>
      <c r="CF129" s="135"/>
      <c r="CG129" s="135"/>
      <c r="CH129" s="135"/>
      <c r="CI129" s="135"/>
      <c r="CJ129" s="135"/>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118"/>
      <c r="DU129" s="4"/>
      <c r="DV129" s="4"/>
      <c r="DW129" s="4"/>
      <c r="DX129" s="4"/>
      <c r="DY129" s="4"/>
      <c r="DZ129" s="4"/>
      <c r="EA129" s="4"/>
      <c r="EB129" s="4"/>
      <c r="EC129" s="4"/>
    </row>
    <row r="130" spans="1:133" s="1" customFormat="1" ht="30" customHeight="1" thickBot="1" x14ac:dyDescent="0.35">
      <c r="A130" s="7"/>
      <c r="B130" s="18" t="s">
        <v>99</v>
      </c>
      <c r="C130" s="15" t="s">
        <v>246</v>
      </c>
      <c r="D130" s="35"/>
      <c r="E130" s="61">
        <v>46342</v>
      </c>
      <c r="F130" s="61">
        <v>46342</v>
      </c>
      <c r="G130" s="31">
        <f t="shared" si="56"/>
        <v>1</v>
      </c>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118"/>
      <c r="AM130" s="4"/>
      <c r="AN130" s="4"/>
      <c r="AO130" s="4"/>
      <c r="AP130" s="4"/>
      <c r="AQ130" s="135"/>
      <c r="AR130" s="4"/>
      <c r="AS130" s="4"/>
      <c r="AT130" s="4"/>
      <c r="AU130" s="4"/>
      <c r="AV130" s="4"/>
      <c r="AW130" s="4"/>
      <c r="AX130" s="4"/>
      <c r="AY130" s="4"/>
      <c r="AZ130" s="4"/>
      <c r="BA130" s="4"/>
      <c r="BB130" s="4"/>
      <c r="BC130" s="135"/>
      <c r="BD130" s="4"/>
      <c r="BE130" s="4"/>
      <c r="BF130" s="4"/>
      <c r="BG130" s="4"/>
      <c r="BH130" s="4"/>
      <c r="BI130" s="4"/>
      <c r="BJ130" s="4"/>
      <c r="BK130" s="4"/>
      <c r="BL130" s="4"/>
      <c r="BM130" s="4"/>
      <c r="BN130" s="4"/>
      <c r="BO130" s="135"/>
      <c r="BP130" s="135"/>
      <c r="BQ130" s="135"/>
      <c r="BR130" s="4"/>
      <c r="BS130" s="4"/>
      <c r="BT130" s="118"/>
      <c r="BU130" s="4"/>
      <c r="BV130" s="4"/>
      <c r="BW130" s="4"/>
      <c r="BX130" s="4"/>
      <c r="BY130" s="4"/>
      <c r="BZ130" s="4"/>
      <c r="CA130" s="118"/>
      <c r="CB130" s="4"/>
      <c r="CC130" s="4"/>
      <c r="CD130" s="4"/>
      <c r="CE130" s="135"/>
      <c r="CF130" s="135"/>
      <c r="CG130" s="135"/>
      <c r="CH130" s="135"/>
      <c r="CI130" s="135"/>
      <c r="CJ130" s="135"/>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118"/>
      <c r="DU130" s="4"/>
      <c r="DV130" s="4"/>
      <c r="DW130" s="4"/>
      <c r="DX130" s="4"/>
      <c r="DY130" s="4"/>
      <c r="DZ130" s="4"/>
      <c r="EA130" s="4"/>
      <c r="EB130" s="4"/>
      <c r="EC130" s="4"/>
    </row>
    <row r="131" spans="1:133" s="1" customFormat="1" ht="30" customHeight="1" thickBot="1" x14ac:dyDescent="0.35">
      <c r="A131" s="7"/>
      <c r="B131" s="18" t="s">
        <v>120</v>
      </c>
      <c r="C131" s="15" t="s">
        <v>246</v>
      </c>
      <c r="D131" s="35"/>
      <c r="E131" s="61">
        <v>46343</v>
      </c>
      <c r="F131" s="61">
        <v>46343</v>
      </c>
      <c r="G131" s="31">
        <f t="shared" si="56"/>
        <v>1</v>
      </c>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118"/>
      <c r="AM131" s="4"/>
      <c r="AN131" s="4"/>
      <c r="AO131" s="4"/>
      <c r="AP131" s="4"/>
      <c r="AQ131" s="135"/>
      <c r="AR131" s="4"/>
      <c r="AS131" s="4"/>
      <c r="AT131" s="4"/>
      <c r="AU131" s="4"/>
      <c r="AV131" s="4"/>
      <c r="AW131" s="4"/>
      <c r="AX131" s="4"/>
      <c r="AY131" s="4"/>
      <c r="AZ131" s="4"/>
      <c r="BA131" s="4"/>
      <c r="BB131" s="4"/>
      <c r="BC131" s="135"/>
      <c r="BD131" s="4"/>
      <c r="BE131" s="4"/>
      <c r="BF131" s="4"/>
      <c r="BG131" s="4"/>
      <c r="BH131" s="4"/>
      <c r="BI131" s="4"/>
      <c r="BJ131" s="4"/>
      <c r="BK131" s="4"/>
      <c r="BL131" s="4"/>
      <c r="BM131" s="4"/>
      <c r="BN131" s="4"/>
      <c r="BO131" s="135"/>
      <c r="BP131" s="135"/>
      <c r="BQ131" s="135"/>
      <c r="BR131" s="4"/>
      <c r="BS131" s="4"/>
      <c r="BT131" s="118"/>
      <c r="BU131" s="4"/>
      <c r="BV131" s="4"/>
      <c r="BW131" s="4"/>
      <c r="BX131" s="4"/>
      <c r="BY131" s="4"/>
      <c r="BZ131" s="4"/>
      <c r="CA131" s="118"/>
      <c r="CB131" s="4"/>
      <c r="CC131" s="4"/>
      <c r="CD131" s="4"/>
      <c r="CE131" s="135"/>
      <c r="CF131" s="135"/>
      <c r="CG131" s="135"/>
      <c r="CH131" s="135"/>
      <c r="CI131" s="135"/>
      <c r="CJ131" s="135"/>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118"/>
      <c r="DU131" s="4"/>
      <c r="DV131" s="4"/>
      <c r="DW131" s="4"/>
      <c r="DX131" s="4"/>
      <c r="DY131" s="4"/>
      <c r="DZ131" s="4"/>
      <c r="EA131" s="4"/>
      <c r="EB131" s="4"/>
      <c r="EC131" s="4"/>
    </row>
    <row r="132" spans="1:133" s="1" customFormat="1" ht="30" customHeight="1" thickBot="1" x14ac:dyDescent="0.35">
      <c r="A132" s="7"/>
      <c r="B132" s="18" t="s">
        <v>101</v>
      </c>
      <c r="C132" s="15" t="s">
        <v>246</v>
      </c>
      <c r="D132" s="35"/>
      <c r="E132" s="61">
        <v>46343</v>
      </c>
      <c r="F132" s="61">
        <v>46343</v>
      </c>
      <c r="G132" s="31">
        <f t="shared" si="56"/>
        <v>1</v>
      </c>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118"/>
      <c r="AM132" s="4"/>
      <c r="AN132" s="4"/>
      <c r="AO132" s="4"/>
      <c r="AP132" s="4"/>
      <c r="AQ132" s="135"/>
      <c r="AR132" s="4"/>
      <c r="AS132" s="4"/>
      <c r="AT132" s="4"/>
      <c r="AU132" s="4"/>
      <c r="AV132" s="4"/>
      <c r="AW132" s="4"/>
      <c r="AX132" s="4"/>
      <c r="AY132" s="4"/>
      <c r="AZ132" s="4"/>
      <c r="BA132" s="4"/>
      <c r="BB132" s="4"/>
      <c r="BC132" s="135"/>
      <c r="BD132" s="4"/>
      <c r="BE132" s="4"/>
      <c r="BF132" s="4"/>
      <c r="BG132" s="4"/>
      <c r="BH132" s="4"/>
      <c r="BI132" s="4"/>
      <c r="BJ132" s="4"/>
      <c r="BK132" s="4"/>
      <c r="BL132" s="4"/>
      <c r="BM132" s="4"/>
      <c r="BN132" s="4"/>
      <c r="BO132" s="135"/>
      <c r="BP132" s="135"/>
      <c r="BQ132" s="135"/>
      <c r="BR132" s="4"/>
      <c r="BS132" s="4"/>
      <c r="BT132" s="118"/>
      <c r="BU132" s="4"/>
      <c r="BV132" s="4"/>
      <c r="BW132" s="4"/>
      <c r="BX132" s="4"/>
      <c r="BY132" s="4"/>
      <c r="BZ132" s="4"/>
      <c r="CA132" s="118"/>
      <c r="CB132" s="4"/>
      <c r="CC132" s="4"/>
      <c r="CD132" s="4"/>
      <c r="CE132" s="135"/>
      <c r="CF132" s="135"/>
      <c r="CG132" s="135"/>
      <c r="CH132" s="135"/>
      <c r="CI132" s="135"/>
      <c r="CJ132" s="135"/>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118"/>
      <c r="DU132" s="4"/>
      <c r="DV132" s="4"/>
      <c r="DW132" s="4"/>
      <c r="DX132" s="4"/>
      <c r="DY132" s="4"/>
      <c r="DZ132" s="4"/>
      <c r="EA132" s="4"/>
      <c r="EB132" s="4"/>
      <c r="EC132" s="4"/>
    </row>
    <row r="133" spans="1:133" s="1" customFormat="1" ht="30" customHeight="1" thickBot="1" x14ac:dyDescent="0.35">
      <c r="A133" s="7"/>
      <c r="B133" s="18" t="s">
        <v>99</v>
      </c>
      <c r="C133" s="15" t="s">
        <v>246</v>
      </c>
      <c r="D133" s="35"/>
      <c r="E133" s="61">
        <v>46343</v>
      </c>
      <c r="F133" s="61">
        <v>46343</v>
      </c>
      <c r="G133" s="31">
        <f t="shared" si="56"/>
        <v>1</v>
      </c>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118"/>
      <c r="AM133" s="4"/>
      <c r="AN133" s="4"/>
      <c r="AO133" s="4"/>
      <c r="AP133" s="4"/>
      <c r="AQ133" s="135"/>
      <c r="AR133" s="4"/>
      <c r="AS133" s="4"/>
      <c r="AT133" s="4"/>
      <c r="AU133" s="4"/>
      <c r="AV133" s="4"/>
      <c r="AW133" s="4"/>
      <c r="AX133" s="4"/>
      <c r="AY133" s="4"/>
      <c r="AZ133" s="4"/>
      <c r="BA133" s="4"/>
      <c r="BB133" s="4"/>
      <c r="BC133" s="135"/>
      <c r="BD133" s="4"/>
      <c r="BE133" s="4"/>
      <c r="BF133" s="4"/>
      <c r="BG133" s="4"/>
      <c r="BH133" s="4"/>
      <c r="BI133" s="4"/>
      <c r="BJ133" s="4"/>
      <c r="BK133" s="4"/>
      <c r="BL133" s="4"/>
      <c r="BM133" s="4"/>
      <c r="BN133" s="4"/>
      <c r="BO133" s="135"/>
      <c r="BP133" s="135"/>
      <c r="BQ133" s="135"/>
      <c r="BR133" s="4"/>
      <c r="BS133" s="4"/>
      <c r="BT133" s="118"/>
      <c r="BU133" s="4"/>
      <c r="BV133" s="4"/>
      <c r="BW133" s="4"/>
      <c r="BX133" s="4"/>
      <c r="BY133" s="4"/>
      <c r="BZ133" s="4"/>
      <c r="CA133" s="118"/>
      <c r="CB133" s="4"/>
      <c r="CC133" s="4"/>
      <c r="CD133" s="4"/>
      <c r="CE133" s="135"/>
      <c r="CF133" s="135"/>
      <c r="CG133" s="135"/>
      <c r="CH133" s="135"/>
      <c r="CI133" s="135"/>
      <c r="CJ133" s="135"/>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118"/>
      <c r="DU133" s="4"/>
      <c r="DV133" s="4"/>
      <c r="DW133" s="4"/>
      <c r="DX133" s="4"/>
      <c r="DY133" s="4"/>
      <c r="DZ133" s="4"/>
      <c r="EA133" s="4"/>
      <c r="EB133" s="4"/>
      <c r="EC133" s="4"/>
    </row>
    <row r="134" spans="1:133" s="1" customFormat="1" ht="30" customHeight="1" thickBot="1" x14ac:dyDescent="0.35">
      <c r="A134" s="7"/>
      <c r="B134" s="18" t="s">
        <v>103</v>
      </c>
      <c r="C134" s="15" t="s">
        <v>246</v>
      </c>
      <c r="D134" s="35"/>
      <c r="E134" s="61">
        <v>46343</v>
      </c>
      <c r="F134" s="61">
        <v>46343</v>
      </c>
      <c r="G134" s="31">
        <f t="shared" si="56"/>
        <v>1</v>
      </c>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118"/>
      <c r="AM134" s="4"/>
      <c r="AN134" s="4"/>
      <c r="AO134" s="4"/>
      <c r="AP134" s="4"/>
      <c r="AQ134" s="135"/>
      <c r="AR134" s="4"/>
      <c r="AS134" s="4"/>
      <c r="AT134" s="4"/>
      <c r="AU134" s="4"/>
      <c r="AV134" s="4"/>
      <c r="AW134" s="4"/>
      <c r="AX134" s="4"/>
      <c r="AY134" s="4"/>
      <c r="AZ134" s="4"/>
      <c r="BA134" s="4"/>
      <c r="BB134" s="4"/>
      <c r="BC134" s="135"/>
      <c r="BD134" s="4"/>
      <c r="BE134" s="4"/>
      <c r="BF134" s="4"/>
      <c r="BG134" s="4"/>
      <c r="BH134" s="4"/>
      <c r="BI134" s="4"/>
      <c r="BJ134" s="4"/>
      <c r="BK134" s="4"/>
      <c r="BL134" s="4"/>
      <c r="BM134" s="4"/>
      <c r="BN134" s="4"/>
      <c r="BO134" s="135"/>
      <c r="BP134" s="135"/>
      <c r="BQ134" s="135"/>
      <c r="BR134" s="4"/>
      <c r="BS134" s="4"/>
      <c r="BT134" s="118"/>
      <c r="BU134" s="4"/>
      <c r="BV134" s="4"/>
      <c r="BW134" s="4"/>
      <c r="BX134" s="4"/>
      <c r="BY134" s="4"/>
      <c r="BZ134" s="4"/>
      <c r="CA134" s="118"/>
      <c r="CB134" s="4"/>
      <c r="CC134" s="4"/>
      <c r="CD134" s="4"/>
      <c r="CE134" s="135"/>
      <c r="CF134" s="135"/>
      <c r="CG134" s="135"/>
      <c r="CH134" s="135"/>
      <c r="CI134" s="135"/>
      <c r="CJ134" s="135"/>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118"/>
      <c r="DU134" s="4"/>
      <c r="DV134" s="4"/>
      <c r="DW134" s="4"/>
      <c r="DX134" s="4"/>
      <c r="DY134" s="4"/>
      <c r="DZ134" s="4"/>
      <c r="EA134" s="4"/>
      <c r="EB134" s="4"/>
      <c r="EC134" s="4"/>
    </row>
    <row r="135" spans="1:133" s="1" customFormat="1" ht="30" customHeight="1" thickBot="1" x14ac:dyDescent="0.35">
      <c r="A135" s="7"/>
      <c r="B135" s="18" t="s">
        <v>106</v>
      </c>
      <c r="C135" s="15" t="s">
        <v>246</v>
      </c>
      <c r="D135" s="35"/>
      <c r="E135" s="61">
        <v>46343</v>
      </c>
      <c r="F135" s="61">
        <v>46343</v>
      </c>
      <c r="G135" s="31">
        <f t="shared" si="56"/>
        <v>1</v>
      </c>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118"/>
      <c r="AM135" s="4"/>
      <c r="AN135" s="4"/>
      <c r="AO135" s="4"/>
      <c r="AP135" s="4"/>
      <c r="AQ135" s="135"/>
      <c r="AR135" s="4"/>
      <c r="AS135" s="4"/>
      <c r="AT135" s="4"/>
      <c r="AU135" s="4"/>
      <c r="AV135" s="4"/>
      <c r="AW135" s="4"/>
      <c r="AX135" s="4"/>
      <c r="AY135" s="4"/>
      <c r="AZ135" s="4"/>
      <c r="BA135" s="4"/>
      <c r="BB135" s="4"/>
      <c r="BC135" s="135"/>
      <c r="BD135" s="4"/>
      <c r="BE135" s="4"/>
      <c r="BF135" s="4"/>
      <c r="BG135" s="4"/>
      <c r="BH135" s="4"/>
      <c r="BI135" s="4"/>
      <c r="BJ135" s="4"/>
      <c r="BK135" s="4"/>
      <c r="BL135" s="4"/>
      <c r="BM135" s="4"/>
      <c r="BN135" s="4"/>
      <c r="BO135" s="135"/>
      <c r="BP135" s="135"/>
      <c r="BQ135" s="135"/>
      <c r="BR135" s="4"/>
      <c r="BS135" s="4"/>
      <c r="BT135" s="118"/>
      <c r="BU135" s="4"/>
      <c r="BV135" s="4"/>
      <c r="BW135" s="4"/>
      <c r="BX135" s="4"/>
      <c r="BY135" s="4"/>
      <c r="BZ135" s="4"/>
      <c r="CA135" s="118"/>
      <c r="CB135" s="4"/>
      <c r="CC135" s="4"/>
      <c r="CD135" s="4"/>
      <c r="CE135" s="135"/>
      <c r="CF135" s="135"/>
      <c r="CG135" s="135"/>
      <c r="CH135" s="135"/>
      <c r="CI135" s="135"/>
      <c r="CJ135" s="135"/>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118"/>
      <c r="DU135" s="4"/>
      <c r="DV135" s="4"/>
      <c r="DW135" s="4"/>
      <c r="DX135" s="4"/>
      <c r="DY135" s="4"/>
      <c r="DZ135" s="4"/>
      <c r="EA135" s="4"/>
      <c r="EB135" s="4"/>
      <c r="EC135" s="4"/>
    </row>
    <row r="136" spans="1:133" s="1" customFormat="1" ht="30" customHeight="1" thickBot="1" x14ac:dyDescent="0.35">
      <c r="A136" s="7"/>
      <c r="B136" s="18" t="s">
        <v>108</v>
      </c>
      <c r="C136" s="15" t="s">
        <v>246</v>
      </c>
      <c r="D136" s="35"/>
      <c r="E136" s="61">
        <v>46343</v>
      </c>
      <c r="F136" s="61">
        <v>46343</v>
      </c>
      <c r="G136" s="31">
        <f t="shared" si="56"/>
        <v>1</v>
      </c>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118"/>
      <c r="AM136" s="4"/>
      <c r="AN136" s="4"/>
      <c r="AO136" s="4"/>
      <c r="AP136" s="4"/>
      <c r="AQ136" s="135"/>
      <c r="AR136" s="4"/>
      <c r="AS136" s="4"/>
      <c r="AT136" s="4"/>
      <c r="AU136" s="4"/>
      <c r="AV136" s="4"/>
      <c r="AW136" s="4"/>
      <c r="AX136" s="4"/>
      <c r="AY136" s="4"/>
      <c r="AZ136" s="4"/>
      <c r="BA136" s="4"/>
      <c r="BB136" s="4"/>
      <c r="BC136" s="135"/>
      <c r="BD136" s="4"/>
      <c r="BE136" s="4"/>
      <c r="BF136" s="4"/>
      <c r="BG136" s="4"/>
      <c r="BH136" s="4"/>
      <c r="BI136" s="4"/>
      <c r="BJ136" s="4"/>
      <c r="BK136" s="4"/>
      <c r="BL136" s="4"/>
      <c r="BM136" s="4"/>
      <c r="BN136" s="4"/>
      <c r="BO136" s="135"/>
      <c r="BP136" s="135"/>
      <c r="BQ136" s="135"/>
      <c r="BR136" s="4"/>
      <c r="BS136" s="4"/>
      <c r="BT136" s="118"/>
      <c r="BU136" s="4"/>
      <c r="BV136" s="4"/>
      <c r="BW136" s="4"/>
      <c r="BX136" s="4"/>
      <c r="BY136" s="4"/>
      <c r="BZ136" s="4"/>
      <c r="CA136" s="118"/>
      <c r="CB136" s="4"/>
      <c r="CC136" s="4"/>
      <c r="CD136" s="4"/>
      <c r="CE136" s="135"/>
      <c r="CF136" s="135"/>
      <c r="CG136" s="135"/>
      <c r="CH136" s="135"/>
      <c r="CI136" s="135"/>
      <c r="CJ136" s="135"/>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118"/>
      <c r="DU136" s="4"/>
      <c r="DV136" s="4"/>
      <c r="DW136" s="4"/>
      <c r="DX136" s="4"/>
      <c r="DY136" s="4"/>
      <c r="DZ136" s="4"/>
      <c r="EA136" s="4"/>
      <c r="EB136" s="4"/>
      <c r="EC136" s="4"/>
    </row>
    <row r="137" spans="1:133" s="1" customFormat="1" ht="30" customHeight="1" thickBot="1" x14ac:dyDescent="0.35">
      <c r="A137" s="7"/>
      <c r="B137" s="18" t="s">
        <v>111</v>
      </c>
      <c r="C137" s="15" t="s">
        <v>246</v>
      </c>
      <c r="D137" s="35"/>
      <c r="E137" s="61">
        <v>46344</v>
      </c>
      <c r="F137" s="61">
        <v>46344</v>
      </c>
      <c r="G137" s="31">
        <f t="shared" si="56"/>
        <v>1</v>
      </c>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118"/>
      <c r="AM137" s="4"/>
      <c r="AN137" s="4"/>
      <c r="AO137" s="4"/>
      <c r="AP137" s="4"/>
      <c r="AQ137" s="135"/>
      <c r="AR137" s="4"/>
      <c r="AS137" s="4"/>
      <c r="AT137" s="4"/>
      <c r="AU137" s="4"/>
      <c r="AV137" s="4"/>
      <c r="AW137" s="4"/>
      <c r="AX137" s="4"/>
      <c r="AY137" s="4"/>
      <c r="AZ137" s="4"/>
      <c r="BA137" s="4"/>
      <c r="BB137" s="4"/>
      <c r="BC137" s="135"/>
      <c r="BD137" s="4"/>
      <c r="BE137" s="4"/>
      <c r="BF137" s="4"/>
      <c r="BG137" s="4"/>
      <c r="BH137" s="4"/>
      <c r="BI137" s="4"/>
      <c r="BJ137" s="4"/>
      <c r="BK137" s="4"/>
      <c r="BL137" s="4"/>
      <c r="BM137" s="4"/>
      <c r="BN137" s="4"/>
      <c r="BO137" s="135"/>
      <c r="BP137" s="135"/>
      <c r="BQ137" s="135"/>
      <c r="BR137" s="4"/>
      <c r="BS137" s="4"/>
      <c r="BT137" s="118"/>
      <c r="BU137" s="4"/>
      <c r="BV137" s="4"/>
      <c r="BW137" s="4"/>
      <c r="BX137" s="4"/>
      <c r="BY137" s="4"/>
      <c r="BZ137" s="4"/>
      <c r="CA137" s="118"/>
      <c r="CB137" s="4"/>
      <c r="CC137" s="4"/>
      <c r="CD137" s="4"/>
      <c r="CE137" s="135"/>
      <c r="CF137" s="135"/>
      <c r="CG137" s="135"/>
      <c r="CH137" s="135"/>
      <c r="CI137" s="135"/>
      <c r="CJ137" s="135"/>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118"/>
      <c r="DU137" s="4"/>
      <c r="DV137" s="4"/>
      <c r="DW137" s="4"/>
      <c r="DX137" s="4"/>
      <c r="DY137" s="4"/>
      <c r="DZ137" s="4"/>
      <c r="EA137" s="4"/>
      <c r="EB137" s="4"/>
      <c r="EC137" s="4"/>
    </row>
    <row r="138" spans="1:133" s="1" customFormat="1" ht="30" customHeight="1" thickBot="1" x14ac:dyDescent="0.35">
      <c r="A138" s="7"/>
      <c r="B138" s="18" t="s">
        <v>109</v>
      </c>
      <c r="C138" s="15" t="s">
        <v>246</v>
      </c>
      <c r="D138" s="35"/>
      <c r="E138" s="61">
        <v>46344</v>
      </c>
      <c r="F138" s="61">
        <v>46344</v>
      </c>
      <c r="G138" s="31">
        <f t="shared" si="56"/>
        <v>1</v>
      </c>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118"/>
      <c r="AM138" s="4"/>
      <c r="AN138" s="4"/>
      <c r="AO138" s="4"/>
      <c r="AP138" s="4"/>
      <c r="AQ138" s="135"/>
      <c r="AR138" s="4"/>
      <c r="AS138" s="4"/>
      <c r="AT138" s="4"/>
      <c r="AU138" s="4"/>
      <c r="AV138" s="4"/>
      <c r="AW138" s="4"/>
      <c r="AX138" s="4"/>
      <c r="AY138" s="4"/>
      <c r="AZ138" s="4"/>
      <c r="BA138" s="4"/>
      <c r="BB138" s="4"/>
      <c r="BC138" s="135"/>
      <c r="BD138" s="4"/>
      <c r="BE138" s="4"/>
      <c r="BF138" s="4"/>
      <c r="BG138" s="4"/>
      <c r="BH138" s="4"/>
      <c r="BI138" s="4"/>
      <c r="BJ138" s="4"/>
      <c r="BK138" s="4"/>
      <c r="BL138" s="4"/>
      <c r="BM138" s="4"/>
      <c r="BN138" s="4"/>
      <c r="BO138" s="135"/>
      <c r="BP138" s="135"/>
      <c r="BQ138" s="135"/>
      <c r="BR138" s="4"/>
      <c r="BS138" s="4"/>
      <c r="BT138" s="118"/>
      <c r="BU138" s="4"/>
      <c r="BV138" s="4"/>
      <c r="BW138" s="4"/>
      <c r="BX138" s="4"/>
      <c r="BY138" s="4"/>
      <c r="BZ138" s="4"/>
      <c r="CA138" s="118"/>
      <c r="CB138" s="4"/>
      <c r="CC138" s="4"/>
      <c r="CD138" s="4"/>
      <c r="CE138" s="135"/>
      <c r="CF138" s="135"/>
      <c r="CG138" s="135"/>
      <c r="CH138" s="135"/>
      <c r="CI138" s="135"/>
      <c r="CJ138" s="135"/>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118"/>
      <c r="DU138" s="4"/>
      <c r="DV138" s="4"/>
      <c r="DW138" s="4"/>
      <c r="DX138" s="4"/>
      <c r="DY138" s="4"/>
      <c r="DZ138" s="4"/>
      <c r="EA138" s="4"/>
      <c r="EB138" s="4"/>
      <c r="EC138" s="4"/>
    </row>
    <row r="139" spans="1:133" s="1" customFormat="1" ht="30" customHeight="1" thickBot="1" x14ac:dyDescent="0.35">
      <c r="A139" s="7"/>
      <c r="B139" s="18" t="s">
        <v>126</v>
      </c>
      <c r="C139" s="15" t="s">
        <v>246</v>
      </c>
      <c r="D139" s="35"/>
      <c r="E139" s="61">
        <v>46344</v>
      </c>
      <c r="F139" s="61">
        <v>46344</v>
      </c>
      <c r="G139" s="31">
        <f t="shared" si="56"/>
        <v>1</v>
      </c>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118"/>
      <c r="AM139" s="4"/>
      <c r="AN139" s="4"/>
      <c r="AO139" s="4"/>
      <c r="AP139" s="4"/>
      <c r="AQ139" s="135"/>
      <c r="AR139" s="4"/>
      <c r="AS139" s="4"/>
      <c r="AT139" s="4"/>
      <c r="AU139" s="4"/>
      <c r="AV139" s="4"/>
      <c r="AW139" s="4"/>
      <c r="AX139" s="4"/>
      <c r="AY139" s="4"/>
      <c r="AZ139" s="4"/>
      <c r="BA139" s="4"/>
      <c r="BB139" s="4"/>
      <c r="BC139" s="135"/>
      <c r="BD139" s="4"/>
      <c r="BE139" s="4"/>
      <c r="BF139" s="4"/>
      <c r="BG139" s="4"/>
      <c r="BH139" s="4"/>
      <c r="BI139" s="4"/>
      <c r="BJ139" s="4"/>
      <c r="BK139" s="4"/>
      <c r="BL139" s="4"/>
      <c r="BM139" s="4"/>
      <c r="BN139" s="4"/>
      <c r="BO139" s="135"/>
      <c r="BP139" s="135"/>
      <c r="BQ139" s="135"/>
      <c r="BR139" s="4"/>
      <c r="BS139" s="4"/>
      <c r="BT139" s="118"/>
      <c r="BU139" s="4"/>
      <c r="BV139" s="4"/>
      <c r="BW139" s="4"/>
      <c r="BX139" s="4"/>
      <c r="BY139" s="4"/>
      <c r="BZ139" s="4"/>
      <c r="CA139" s="118"/>
      <c r="CB139" s="4"/>
      <c r="CC139" s="4"/>
      <c r="CD139" s="4"/>
      <c r="CE139" s="135"/>
      <c r="CF139" s="135"/>
      <c r="CG139" s="135"/>
      <c r="CH139" s="135"/>
      <c r="CI139" s="135"/>
      <c r="CJ139" s="135"/>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118"/>
      <c r="DU139" s="4"/>
      <c r="DV139" s="4"/>
      <c r="DW139" s="4"/>
      <c r="DX139" s="4"/>
      <c r="DY139" s="4"/>
      <c r="DZ139" s="4"/>
      <c r="EA139" s="4"/>
      <c r="EB139" s="4"/>
      <c r="EC139" s="4"/>
    </row>
    <row r="140" spans="1:133" s="1" customFormat="1" ht="30" customHeight="1" thickBot="1" x14ac:dyDescent="0.35">
      <c r="A140" s="7"/>
      <c r="B140" s="18" t="s">
        <v>127</v>
      </c>
      <c r="C140" s="15" t="s">
        <v>246</v>
      </c>
      <c r="D140" s="35"/>
      <c r="E140" s="61">
        <v>46344</v>
      </c>
      <c r="F140" s="61">
        <v>46344</v>
      </c>
      <c r="G140" s="31">
        <f t="shared" si="56"/>
        <v>1</v>
      </c>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118"/>
      <c r="AM140" s="4"/>
      <c r="AN140" s="4"/>
      <c r="AO140" s="4"/>
      <c r="AP140" s="4"/>
      <c r="AQ140" s="135"/>
      <c r="AR140" s="4"/>
      <c r="AS140" s="4"/>
      <c r="AT140" s="4"/>
      <c r="AU140" s="4"/>
      <c r="AV140" s="4"/>
      <c r="AW140" s="4"/>
      <c r="AX140" s="4"/>
      <c r="AY140" s="4"/>
      <c r="AZ140" s="4"/>
      <c r="BA140" s="4"/>
      <c r="BB140" s="4"/>
      <c r="BC140" s="135"/>
      <c r="BD140" s="4"/>
      <c r="BE140" s="4"/>
      <c r="BF140" s="4"/>
      <c r="BG140" s="4"/>
      <c r="BH140" s="4"/>
      <c r="BI140" s="4"/>
      <c r="BJ140" s="4"/>
      <c r="BK140" s="4"/>
      <c r="BL140" s="4"/>
      <c r="BM140" s="4"/>
      <c r="BN140" s="4"/>
      <c r="BO140" s="135"/>
      <c r="BP140" s="135"/>
      <c r="BQ140" s="135"/>
      <c r="BR140" s="4"/>
      <c r="BS140" s="4"/>
      <c r="BT140" s="118"/>
      <c r="BU140" s="4"/>
      <c r="BV140" s="4"/>
      <c r="BW140" s="4"/>
      <c r="BX140" s="4"/>
      <c r="BY140" s="4"/>
      <c r="BZ140" s="4"/>
      <c r="CA140" s="118"/>
      <c r="CB140" s="4"/>
      <c r="CC140" s="4"/>
      <c r="CD140" s="4"/>
      <c r="CE140" s="135"/>
      <c r="CF140" s="135"/>
      <c r="CG140" s="135"/>
      <c r="CH140" s="135"/>
      <c r="CI140" s="135"/>
      <c r="CJ140" s="135"/>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118"/>
      <c r="DU140" s="4"/>
      <c r="DV140" s="4"/>
      <c r="DW140" s="4"/>
      <c r="DX140" s="4"/>
      <c r="DY140" s="4"/>
      <c r="DZ140" s="4"/>
      <c r="EA140" s="4"/>
      <c r="EB140" s="4"/>
      <c r="EC140" s="4"/>
    </row>
    <row r="141" spans="1:133" s="1" customFormat="1" ht="30" customHeight="1" thickBot="1" x14ac:dyDescent="0.35">
      <c r="A141" s="7"/>
      <c r="B141" s="18" t="s">
        <v>128</v>
      </c>
      <c r="C141" s="15" t="s">
        <v>246</v>
      </c>
      <c r="D141" s="35"/>
      <c r="E141" s="61">
        <v>46344</v>
      </c>
      <c r="F141" s="61">
        <v>46344</v>
      </c>
      <c r="G141" s="31">
        <f t="shared" si="56"/>
        <v>1</v>
      </c>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118"/>
      <c r="AM141" s="4"/>
      <c r="AN141" s="4"/>
      <c r="AO141" s="4"/>
      <c r="AP141" s="4"/>
      <c r="AQ141" s="135"/>
      <c r="AR141" s="4"/>
      <c r="AS141" s="4"/>
      <c r="AT141" s="4"/>
      <c r="AU141" s="4"/>
      <c r="AV141" s="4"/>
      <c r="AW141" s="4"/>
      <c r="AX141" s="4"/>
      <c r="AY141" s="4"/>
      <c r="AZ141" s="4"/>
      <c r="BA141" s="4"/>
      <c r="BB141" s="4"/>
      <c r="BC141" s="135"/>
      <c r="BD141" s="4"/>
      <c r="BE141" s="4"/>
      <c r="BF141" s="4"/>
      <c r="BG141" s="4"/>
      <c r="BH141" s="4"/>
      <c r="BI141" s="4"/>
      <c r="BJ141" s="4"/>
      <c r="BK141" s="4"/>
      <c r="BL141" s="4"/>
      <c r="BM141" s="4"/>
      <c r="BN141" s="4"/>
      <c r="BO141" s="135"/>
      <c r="BP141" s="135"/>
      <c r="BQ141" s="135"/>
      <c r="BR141" s="4"/>
      <c r="BS141" s="4"/>
      <c r="BT141" s="118"/>
      <c r="BU141" s="4"/>
      <c r="BV141" s="4"/>
      <c r="BW141" s="4"/>
      <c r="BX141" s="4"/>
      <c r="BY141" s="4"/>
      <c r="BZ141" s="4"/>
      <c r="CA141" s="118"/>
      <c r="CB141" s="4"/>
      <c r="CC141" s="4"/>
      <c r="CD141" s="4"/>
      <c r="CE141" s="135"/>
      <c r="CF141" s="135"/>
      <c r="CG141" s="135"/>
      <c r="CH141" s="135"/>
      <c r="CI141" s="135"/>
      <c r="CJ141" s="135"/>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118"/>
      <c r="DU141" s="4"/>
      <c r="DV141" s="4"/>
      <c r="DW141" s="4"/>
      <c r="DX141" s="4"/>
      <c r="DY141" s="4"/>
      <c r="DZ141" s="4"/>
      <c r="EA141" s="4"/>
      <c r="EB141" s="4"/>
      <c r="EC141" s="4"/>
    </row>
    <row r="142" spans="1:133" s="1" customFormat="1" ht="30" customHeight="1" thickBot="1" x14ac:dyDescent="0.35">
      <c r="A142" s="7"/>
      <c r="B142" s="18" t="s">
        <v>129</v>
      </c>
      <c r="C142" s="15" t="s">
        <v>246</v>
      </c>
      <c r="D142" s="35"/>
      <c r="E142" s="61">
        <v>46344</v>
      </c>
      <c r="F142" s="61">
        <v>46344</v>
      </c>
      <c r="G142" s="31">
        <f t="shared" si="56"/>
        <v>1</v>
      </c>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118"/>
      <c r="AM142" s="4"/>
      <c r="AN142" s="4"/>
      <c r="AO142" s="4"/>
      <c r="AP142" s="4"/>
      <c r="AQ142" s="135"/>
      <c r="AR142" s="4"/>
      <c r="AS142" s="4"/>
      <c r="AT142" s="4"/>
      <c r="AU142" s="4"/>
      <c r="AV142" s="4"/>
      <c r="AW142" s="4"/>
      <c r="AX142" s="4"/>
      <c r="AY142" s="4"/>
      <c r="AZ142" s="4"/>
      <c r="BA142" s="4"/>
      <c r="BB142" s="4"/>
      <c r="BC142" s="135"/>
      <c r="BD142" s="4"/>
      <c r="BE142" s="4"/>
      <c r="BF142" s="4"/>
      <c r="BG142" s="4"/>
      <c r="BH142" s="4"/>
      <c r="BI142" s="4"/>
      <c r="BJ142" s="4"/>
      <c r="BK142" s="4"/>
      <c r="BL142" s="4"/>
      <c r="BM142" s="4"/>
      <c r="BN142" s="4"/>
      <c r="BO142" s="135"/>
      <c r="BP142" s="135"/>
      <c r="BQ142" s="135"/>
      <c r="BR142" s="4"/>
      <c r="BS142" s="4"/>
      <c r="BT142" s="118"/>
      <c r="BU142" s="4"/>
      <c r="BV142" s="4"/>
      <c r="BW142" s="4"/>
      <c r="BX142" s="4"/>
      <c r="BY142" s="4"/>
      <c r="BZ142" s="4"/>
      <c r="CA142" s="118"/>
      <c r="CB142" s="4"/>
      <c r="CC142" s="4"/>
      <c r="CD142" s="4"/>
      <c r="CE142" s="135"/>
      <c r="CF142" s="135"/>
      <c r="CG142" s="135"/>
      <c r="CH142" s="135"/>
      <c r="CI142" s="135"/>
      <c r="CJ142" s="135"/>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118"/>
      <c r="DU142" s="4"/>
      <c r="DV142" s="4"/>
      <c r="DW142" s="4"/>
      <c r="DX142" s="4"/>
      <c r="DY142" s="4"/>
      <c r="DZ142" s="4"/>
      <c r="EA142" s="4"/>
      <c r="EB142" s="4"/>
      <c r="EC142" s="4"/>
    </row>
    <row r="143" spans="1:133" s="1" customFormat="1" ht="30" customHeight="1" thickBot="1" x14ac:dyDescent="0.35">
      <c r="A143" s="7" t="s">
        <v>11</v>
      </c>
      <c r="B143" s="69" t="s">
        <v>239</v>
      </c>
      <c r="C143" s="70"/>
      <c r="D143" s="71"/>
      <c r="E143" s="72"/>
      <c r="F143" s="73"/>
      <c r="G143" s="31" t="str">
        <f t="shared" si="56"/>
        <v/>
      </c>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118"/>
      <c r="AM143" s="4"/>
      <c r="AN143" s="4"/>
      <c r="AO143" s="4"/>
      <c r="AP143" s="4"/>
      <c r="AQ143" s="135"/>
      <c r="AR143" s="4"/>
      <c r="AS143" s="4"/>
      <c r="AT143" s="4"/>
      <c r="AU143" s="4"/>
      <c r="AV143" s="4"/>
      <c r="AW143" s="4"/>
      <c r="AX143" s="4"/>
      <c r="AY143" s="4"/>
      <c r="AZ143" s="4"/>
      <c r="BA143" s="4"/>
      <c r="BB143" s="4"/>
      <c r="BC143" s="135"/>
      <c r="BD143" s="4"/>
      <c r="BE143" s="4"/>
      <c r="BF143" s="4"/>
      <c r="BG143" s="4"/>
      <c r="BH143" s="4"/>
      <c r="BI143" s="4"/>
      <c r="BK143" s="4"/>
      <c r="BL143" s="4"/>
      <c r="BM143" s="4"/>
      <c r="BN143" s="4"/>
      <c r="BO143" s="135"/>
      <c r="BP143" s="135"/>
      <c r="BQ143" s="135"/>
      <c r="BR143" s="4"/>
      <c r="BS143" s="4"/>
      <c r="BT143" s="118"/>
      <c r="BU143" s="4"/>
      <c r="BV143" s="4"/>
      <c r="BW143" s="4"/>
      <c r="BX143" s="4"/>
      <c r="BY143" s="4"/>
      <c r="BZ143" s="4"/>
      <c r="CA143" s="118"/>
      <c r="CB143" s="4"/>
      <c r="CC143" s="4"/>
      <c r="CD143" s="4"/>
      <c r="CE143" s="135"/>
      <c r="CF143" s="135"/>
      <c r="CG143" s="135"/>
      <c r="CH143" s="135"/>
      <c r="CI143" s="135"/>
      <c r="CJ143" s="135"/>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118"/>
      <c r="DU143" s="4"/>
      <c r="DV143" s="4"/>
      <c r="DW143" s="4"/>
      <c r="DX143" s="4"/>
      <c r="DY143" s="4"/>
      <c r="DZ143" s="4"/>
      <c r="EA143" s="4"/>
      <c r="EB143" s="4"/>
      <c r="EC143" s="4"/>
    </row>
    <row r="144" spans="1:133" s="1" customFormat="1" ht="30" customHeight="1" thickBot="1" x14ac:dyDescent="0.35">
      <c r="A144" s="7"/>
      <c r="B144" s="74" t="s">
        <v>130</v>
      </c>
      <c r="C144" s="75" t="s">
        <v>246</v>
      </c>
      <c r="D144" s="76"/>
      <c r="E144" s="77">
        <v>46378</v>
      </c>
      <c r="F144" s="77">
        <v>46378</v>
      </c>
      <c r="G144" s="31">
        <f t="shared" si="56"/>
        <v>1</v>
      </c>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118"/>
      <c r="AM144" s="4"/>
      <c r="AN144" s="4"/>
      <c r="AO144" s="4"/>
      <c r="AP144" s="4"/>
      <c r="AQ144" s="135"/>
      <c r="AR144" s="4"/>
      <c r="AS144" s="4"/>
      <c r="AT144" s="4"/>
      <c r="AU144" s="4"/>
      <c r="AV144" s="4"/>
      <c r="AW144" s="4"/>
      <c r="AX144" s="4"/>
      <c r="AY144" s="4"/>
      <c r="AZ144" s="4"/>
      <c r="BA144" s="4"/>
      <c r="BB144" s="4"/>
      <c r="BC144" s="135"/>
      <c r="BD144" s="4"/>
      <c r="BE144" s="4"/>
      <c r="BF144" s="4"/>
      <c r="BG144" s="4"/>
      <c r="BH144" s="4"/>
      <c r="BI144" s="4"/>
      <c r="BJ144" s="4"/>
      <c r="BK144" s="130"/>
      <c r="BL144" s="4"/>
      <c r="BM144" s="4"/>
      <c r="BN144" s="4"/>
      <c r="BO144" s="135"/>
      <c r="BP144" s="135"/>
      <c r="BQ144" s="135"/>
      <c r="BR144" s="4"/>
      <c r="BS144" s="4"/>
      <c r="BT144" s="118"/>
      <c r="BU144" s="4"/>
      <c r="BV144" s="4"/>
      <c r="BW144" s="4"/>
      <c r="BX144" s="4"/>
      <c r="BY144" s="4"/>
      <c r="BZ144" s="4"/>
      <c r="CA144" s="118"/>
      <c r="CB144" s="4"/>
      <c r="CC144" s="4"/>
      <c r="CD144" s="4"/>
      <c r="CE144" s="135"/>
      <c r="CF144" s="135"/>
      <c r="CG144" s="135"/>
      <c r="CH144" s="135"/>
      <c r="CI144" s="135"/>
      <c r="CJ144" s="135"/>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118"/>
      <c r="DU144" s="4"/>
      <c r="DV144" s="4"/>
      <c r="DW144" s="4"/>
      <c r="DX144" s="4"/>
      <c r="DY144" s="4"/>
      <c r="DZ144" s="4"/>
      <c r="EA144" s="4"/>
      <c r="EB144" s="4"/>
      <c r="EC144" s="4"/>
    </row>
    <row r="145" spans="1:133" s="1" customFormat="1" ht="30" customHeight="1" thickBot="1" x14ac:dyDescent="0.35">
      <c r="A145" s="7"/>
      <c r="B145" s="74" t="s">
        <v>131</v>
      </c>
      <c r="C145" s="75" t="s">
        <v>246</v>
      </c>
      <c r="D145" s="76"/>
      <c r="E145" s="77">
        <v>46378</v>
      </c>
      <c r="F145" s="77">
        <v>46378</v>
      </c>
      <c r="G145" s="31">
        <f t="shared" si="56"/>
        <v>1</v>
      </c>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118"/>
      <c r="AM145" s="4"/>
      <c r="AN145" s="4"/>
      <c r="AO145" s="4"/>
      <c r="AP145" s="4"/>
      <c r="AQ145" s="135"/>
      <c r="AR145" s="4"/>
      <c r="AS145" s="4"/>
      <c r="AT145" s="4"/>
      <c r="AU145" s="4"/>
      <c r="AV145" s="4"/>
      <c r="AW145" s="4"/>
      <c r="AX145" s="4"/>
      <c r="AY145" s="4"/>
      <c r="AZ145" s="4"/>
      <c r="BA145" s="4"/>
      <c r="BB145" s="4"/>
      <c r="BC145" s="135"/>
      <c r="BD145" s="4"/>
      <c r="BE145" s="4"/>
      <c r="BF145" s="4"/>
      <c r="BG145" s="4"/>
      <c r="BH145" s="4"/>
      <c r="BI145" s="4"/>
      <c r="BJ145" s="4"/>
      <c r="BK145" s="4"/>
      <c r="BL145" s="4"/>
      <c r="BM145" s="4"/>
      <c r="BN145" s="4"/>
      <c r="BO145" s="135"/>
      <c r="BP145" s="135"/>
      <c r="BQ145" s="135"/>
      <c r="BR145" s="4"/>
      <c r="BS145" s="4"/>
      <c r="BT145" s="118"/>
      <c r="BU145" s="4"/>
      <c r="BV145" s="4"/>
      <c r="BW145" s="4"/>
      <c r="BX145" s="4"/>
      <c r="BY145" s="4"/>
      <c r="BZ145" s="4"/>
      <c r="CA145" s="118"/>
      <c r="CB145" s="4"/>
      <c r="CC145" s="4"/>
      <c r="CD145" s="4"/>
      <c r="CE145" s="135"/>
      <c r="CF145" s="135"/>
      <c r="CG145" s="135"/>
      <c r="CH145" s="135"/>
      <c r="CI145" s="135"/>
      <c r="CJ145" s="135"/>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118"/>
      <c r="DU145" s="4"/>
      <c r="DV145" s="4"/>
      <c r="DW145" s="4"/>
      <c r="DX145" s="4"/>
      <c r="DY145" s="4"/>
      <c r="DZ145" s="4"/>
      <c r="EA145" s="4"/>
      <c r="EB145" s="4"/>
      <c r="EC145" s="4"/>
    </row>
    <row r="146" spans="1:133" s="1" customFormat="1" ht="30" customHeight="1" thickBot="1" x14ac:dyDescent="0.35">
      <c r="A146" s="7"/>
      <c r="B146" s="74" t="s">
        <v>132</v>
      </c>
      <c r="C146" s="75" t="s">
        <v>246</v>
      </c>
      <c r="D146" s="76"/>
      <c r="E146" s="77">
        <v>46378</v>
      </c>
      <c r="F146" s="77">
        <v>46378</v>
      </c>
      <c r="G146" s="31">
        <f t="shared" si="56"/>
        <v>1</v>
      </c>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118"/>
      <c r="AM146" s="4"/>
      <c r="AN146" s="4"/>
      <c r="AO146" s="4"/>
      <c r="AP146" s="4"/>
      <c r="AQ146" s="135"/>
      <c r="AR146" s="4"/>
      <c r="AS146" s="4"/>
      <c r="AT146" s="4"/>
      <c r="AU146" s="4"/>
      <c r="AV146" s="4"/>
      <c r="AW146" s="4"/>
      <c r="AX146" s="4"/>
      <c r="AY146" s="4"/>
      <c r="AZ146" s="4"/>
      <c r="BA146" s="4"/>
      <c r="BB146" s="4"/>
      <c r="BC146" s="135"/>
      <c r="BD146" s="4"/>
      <c r="BE146" s="4"/>
      <c r="BF146" s="4"/>
      <c r="BG146" s="4"/>
      <c r="BH146" s="4"/>
      <c r="BI146" s="4"/>
      <c r="BJ146" s="4"/>
      <c r="BK146" s="4"/>
      <c r="BL146" s="4"/>
      <c r="BM146" s="4"/>
      <c r="BN146" s="4"/>
      <c r="BO146" s="135"/>
      <c r="BP146" s="135"/>
      <c r="BQ146" s="135"/>
      <c r="BR146" s="4"/>
      <c r="BS146" s="4"/>
      <c r="BT146" s="118"/>
      <c r="BU146" s="4"/>
      <c r="BV146" s="4"/>
      <c r="BW146" s="4"/>
      <c r="BX146" s="4"/>
      <c r="BY146" s="4"/>
      <c r="BZ146" s="4"/>
      <c r="CA146" s="118"/>
      <c r="CB146" s="4"/>
      <c r="CC146" s="4"/>
      <c r="CD146" s="4"/>
      <c r="CE146" s="135"/>
      <c r="CF146" s="135"/>
      <c r="CG146" s="135"/>
      <c r="CH146" s="135"/>
      <c r="CI146" s="135"/>
      <c r="CJ146" s="135"/>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118"/>
      <c r="DU146" s="4"/>
      <c r="DV146" s="4"/>
      <c r="DW146" s="4"/>
      <c r="DX146" s="4"/>
      <c r="DY146" s="4"/>
      <c r="DZ146" s="4"/>
      <c r="EA146" s="4"/>
      <c r="EB146" s="4"/>
      <c r="EC146" s="4"/>
    </row>
    <row r="147" spans="1:133" s="1" customFormat="1" ht="30" customHeight="1" thickBot="1" x14ac:dyDescent="0.35">
      <c r="A147" s="7"/>
      <c r="B147" s="74" t="s">
        <v>148</v>
      </c>
      <c r="C147" s="75" t="s">
        <v>246</v>
      </c>
      <c r="D147" s="76"/>
      <c r="E147" s="77">
        <v>46378</v>
      </c>
      <c r="F147" s="77">
        <v>46378</v>
      </c>
      <c r="G147" s="31">
        <v>1</v>
      </c>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118"/>
      <c r="AM147" s="4"/>
      <c r="AN147" s="4"/>
      <c r="AO147" s="4"/>
      <c r="AP147" s="4"/>
      <c r="AQ147" s="135"/>
      <c r="AR147" s="4"/>
      <c r="AS147" s="4"/>
      <c r="AT147" s="4"/>
      <c r="AU147" s="4"/>
      <c r="AV147" s="4"/>
      <c r="AW147" s="4"/>
      <c r="AX147" s="4"/>
      <c r="AY147" s="4"/>
      <c r="AZ147" s="4"/>
      <c r="BA147" s="4"/>
      <c r="BB147" s="4"/>
      <c r="BC147" s="135"/>
      <c r="BD147" s="4"/>
      <c r="BE147" s="4"/>
      <c r="BF147" s="4"/>
      <c r="BG147" s="4"/>
      <c r="BH147" s="4"/>
      <c r="BI147" s="4"/>
      <c r="BJ147" s="4"/>
      <c r="BK147" s="4"/>
      <c r="BL147" s="4"/>
      <c r="BM147" s="4"/>
      <c r="BN147" s="4"/>
      <c r="BO147" s="135"/>
      <c r="BP147" s="135"/>
      <c r="BQ147" s="135"/>
      <c r="BR147" s="4"/>
      <c r="BS147" s="4"/>
      <c r="BT147" s="118"/>
      <c r="BU147" s="4"/>
      <c r="BV147" s="4"/>
      <c r="BW147" s="4"/>
      <c r="BX147" s="4"/>
      <c r="BY147" s="4"/>
      <c r="BZ147" s="4"/>
      <c r="CA147" s="118"/>
      <c r="CB147" s="4"/>
      <c r="CC147" s="4"/>
      <c r="CD147" s="4"/>
      <c r="CE147" s="135"/>
      <c r="CF147" s="135"/>
      <c r="CG147" s="135"/>
      <c r="CH147" s="135"/>
      <c r="CI147" s="135"/>
      <c r="CJ147" s="135"/>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118"/>
      <c r="DU147" s="4"/>
      <c r="DV147" s="4"/>
      <c r="DW147" s="4"/>
      <c r="DX147" s="4"/>
      <c r="DY147" s="4"/>
      <c r="DZ147" s="4"/>
      <c r="EA147" s="4"/>
      <c r="EB147" s="4"/>
      <c r="EC147" s="4"/>
    </row>
    <row r="148" spans="1:133" s="1" customFormat="1" ht="30" customHeight="1" thickBot="1" x14ac:dyDescent="0.35">
      <c r="A148" s="7"/>
      <c r="B148" s="74" t="s">
        <v>141</v>
      </c>
      <c r="C148" s="75" t="s">
        <v>246</v>
      </c>
      <c r="D148" s="76"/>
      <c r="E148" s="77">
        <v>46378</v>
      </c>
      <c r="F148" s="77">
        <v>46378</v>
      </c>
      <c r="G148" s="31">
        <f t="shared" si="56"/>
        <v>1</v>
      </c>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118"/>
      <c r="AM148" s="4"/>
      <c r="AN148" s="4"/>
      <c r="AO148" s="4"/>
      <c r="AP148" s="4"/>
      <c r="AQ148" s="135"/>
      <c r="AR148" s="4"/>
      <c r="AS148" s="4"/>
      <c r="AT148" s="4"/>
      <c r="AU148" s="4"/>
      <c r="AV148" s="4"/>
      <c r="AW148" s="4"/>
      <c r="AX148" s="4"/>
      <c r="AY148" s="4"/>
      <c r="AZ148" s="4"/>
      <c r="BA148" s="4"/>
      <c r="BB148" s="4"/>
      <c r="BC148" s="135"/>
      <c r="BD148" s="4"/>
      <c r="BE148" s="4"/>
      <c r="BF148" s="4"/>
      <c r="BG148" s="4"/>
      <c r="BH148" s="4"/>
      <c r="BI148" s="4"/>
      <c r="BJ148" s="4"/>
      <c r="BK148" s="4"/>
      <c r="BL148" s="4"/>
      <c r="BM148" s="4"/>
      <c r="BN148" s="4"/>
      <c r="BO148" s="135"/>
      <c r="BP148" s="135"/>
      <c r="BQ148" s="135"/>
      <c r="BR148" s="4"/>
      <c r="BS148" s="4"/>
      <c r="BT148" s="118"/>
      <c r="BU148" s="4"/>
      <c r="BV148" s="4"/>
      <c r="BW148" s="4"/>
      <c r="BX148" s="4"/>
      <c r="BY148" s="4"/>
      <c r="BZ148" s="4"/>
      <c r="CA148" s="118"/>
      <c r="CB148" s="4"/>
      <c r="CC148" s="4"/>
      <c r="CD148" s="4"/>
      <c r="CE148" s="135"/>
      <c r="CF148" s="135"/>
      <c r="CG148" s="135"/>
      <c r="CH148" s="135"/>
      <c r="CI148" s="135"/>
      <c r="CJ148" s="135"/>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118"/>
      <c r="DU148" s="4"/>
      <c r="DV148" s="4"/>
      <c r="DW148" s="4"/>
      <c r="DX148" s="4"/>
      <c r="DY148" s="4"/>
      <c r="DZ148" s="4"/>
      <c r="EA148" s="4"/>
      <c r="EB148" s="4"/>
      <c r="EC148" s="4"/>
    </row>
    <row r="149" spans="1:133" s="1" customFormat="1" ht="30" customHeight="1" thickBot="1" x14ac:dyDescent="0.35">
      <c r="A149" s="7" t="s">
        <v>11</v>
      </c>
      <c r="B149" s="69" t="s">
        <v>136</v>
      </c>
      <c r="C149" s="70"/>
      <c r="D149" s="71"/>
      <c r="E149" s="72"/>
      <c r="F149" s="73"/>
      <c r="G149" s="31" t="str">
        <f t="shared" si="56"/>
        <v/>
      </c>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118"/>
      <c r="AM149" s="4"/>
      <c r="AN149" s="4"/>
      <c r="AO149" s="4"/>
      <c r="AP149" s="4"/>
      <c r="AQ149" s="135"/>
      <c r="AR149" s="4"/>
      <c r="AS149" s="4"/>
      <c r="AT149" s="4"/>
      <c r="AU149" s="4"/>
      <c r="AV149" s="4"/>
      <c r="AW149" s="4"/>
      <c r="AX149" s="4"/>
      <c r="AY149" s="4"/>
      <c r="AZ149" s="4"/>
      <c r="BA149" s="4"/>
      <c r="BB149" s="4"/>
      <c r="BC149" s="135"/>
      <c r="BD149" s="4"/>
      <c r="BE149" s="4"/>
      <c r="BF149" s="4"/>
      <c r="BG149" s="4"/>
      <c r="BH149" s="4"/>
      <c r="BI149" s="4"/>
      <c r="BJ149" s="4"/>
      <c r="BK149" s="4"/>
      <c r="BL149" s="4"/>
      <c r="BM149" s="4"/>
      <c r="BN149" s="4"/>
      <c r="BO149" s="135"/>
      <c r="BP149" s="135"/>
      <c r="BQ149" s="135"/>
      <c r="BR149" s="4"/>
      <c r="BS149" s="4"/>
      <c r="BT149" s="118"/>
      <c r="BU149" s="4"/>
      <c r="BV149" s="4"/>
      <c r="BW149" s="4"/>
      <c r="BX149" s="4"/>
      <c r="BY149" s="4"/>
      <c r="BZ149" s="4"/>
      <c r="CA149" s="118"/>
      <c r="CB149" s="4"/>
      <c r="CC149" s="4"/>
      <c r="CD149" s="4"/>
      <c r="CE149" s="135"/>
      <c r="CF149" s="135"/>
      <c r="CG149" s="135"/>
      <c r="CH149" s="135"/>
      <c r="CI149" s="135"/>
      <c r="CJ149" s="135"/>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118"/>
      <c r="DU149" s="4"/>
      <c r="DV149" s="4"/>
      <c r="DW149" s="4"/>
      <c r="DX149" s="4"/>
      <c r="DY149" s="4"/>
      <c r="DZ149" s="4"/>
      <c r="EA149" s="4"/>
      <c r="EB149" s="4"/>
      <c r="EC149" s="4"/>
    </row>
    <row r="150" spans="1:133" s="1" customFormat="1" ht="30" customHeight="1" thickBot="1" x14ac:dyDescent="0.35">
      <c r="A150" s="7"/>
      <c r="B150" s="74" t="s">
        <v>137</v>
      </c>
      <c r="C150" s="75" t="s">
        <v>246</v>
      </c>
      <c r="D150" s="76"/>
      <c r="E150" s="77">
        <v>46379</v>
      </c>
      <c r="F150" s="77">
        <v>46379</v>
      </c>
      <c r="G150" s="31">
        <f t="shared" si="56"/>
        <v>1</v>
      </c>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118"/>
      <c r="AM150" s="4"/>
      <c r="AN150" s="4"/>
      <c r="AO150" s="4"/>
      <c r="AP150" s="4"/>
      <c r="AQ150" s="135"/>
      <c r="AR150" s="4"/>
      <c r="AS150" s="4"/>
      <c r="AT150" s="4"/>
      <c r="AU150" s="4"/>
      <c r="AV150" s="4"/>
      <c r="AW150" s="4"/>
      <c r="AX150" s="4"/>
      <c r="AY150" s="4"/>
      <c r="AZ150" s="4"/>
      <c r="BA150" s="4"/>
      <c r="BB150" s="4"/>
      <c r="BC150" s="135"/>
      <c r="BD150" s="4"/>
      <c r="BE150" s="4"/>
      <c r="BF150" s="4"/>
      <c r="BG150" s="4"/>
      <c r="BH150" s="4"/>
      <c r="BI150" s="4"/>
      <c r="BJ150" s="4"/>
      <c r="BK150" s="4"/>
      <c r="BL150" s="4"/>
      <c r="BM150" s="4"/>
      <c r="BN150" s="4"/>
      <c r="BO150" s="135"/>
      <c r="BP150" s="135"/>
      <c r="BQ150" s="135"/>
      <c r="BR150" s="4"/>
      <c r="BS150" s="4"/>
      <c r="BT150" s="118"/>
      <c r="BU150" s="4"/>
      <c r="BV150" s="4"/>
      <c r="BW150" s="4"/>
      <c r="BX150" s="4"/>
      <c r="BY150" s="4"/>
      <c r="BZ150" s="4"/>
      <c r="CA150" s="118"/>
      <c r="CB150" s="4"/>
      <c r="CC150" s="4"/>
      <c r="CD150" s="4"/>
      <c r="CE150" s="135"/>
      <c r="CF150" s="135"/>
      <c r="CG150" s="135"/>
      <c r="CH150" s="135"/>
      <c r="CI150" s="135"/>
      <c r="CJ150" s="135"/>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118"/>
      <c r="DU150" s="4"/>
      <c r="DV150" s="4"/>
      <c r="DW150" s="4"/>
      <c r="DX150" s="4"/>
      <c r="DY150" s="4"/>
      <c r="DZ150" s="4"/>
      <c r="EA150" s="4"/>
      <c r="EB150" s="4"/>
      <c r="EC150" s="4"/>
    </row>
    <row r="151" spans="1:133" s="1" customFormat="1" ht="30" customHeight="1" thickBot="1" x14ac:dyDescent="0.35">
      <c r="A151" s="7"/>
      <c r="B151" s="74" t="s">
        <v>142</v>
      </c>
      <c r="C151" s="75" t="s">
        <v>246</v>
      </c>
      <c r="D151" s="76"/>
      <c r="E151" s="77">
        <v>46380</v>
      </c>
      <c r="F151" s="77">
        <v>46380</v>
      </c>
      <c r="G151" s="31">
        <f t="shared" si="56"/>
        <v>1</v>
      </c>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118"/>
      <c r="AM151" s="4"/>
      <c r="AN151" s="4"/>
      <c r="AO151" s="4"/>
      <c r="AP151" s="4"/>
      <c r="AQ151" s="135"/>
      <c r="AR151" s="4"/>
      <c r="AS151" s="4"/>
      <c r="AT151" s="4"/>
      <c r="AU151" s="4"/>
      <c r="AV151" s="4"/>
      <c r="AW151" s="4"/>
      <c r="AX151" s="4"/>
      <c r="AY151" s="4"/>
      <c r="AZ151" s="4"/>
      <c r="BA151" s="4"/>
      <c r="BB151" s="4"/>
      <c r="BC151" s="135"/>
      <c r="BD151" s="4"/>
      <c r="BE151" s="4"/>
      <c r="BF151" s="4"/>
      <c r="BG151" s="4"/>
      <c r="BH151" s="4"/>
      <c r="BI151" s="4"/>
      <c r="BJ151" s="4"/>
      <c r="BK151" s="4"/>
      <c r="BL151" s="4"/>
      <c r="BM151" s="4"/>
      <c r="BN151" s="4"/>
      <c r="BO151" s="135"/>
      <c r="BP151" s="135"/>
      <c r="BQ151" s="135"/>
      <c r="BR151" s="4"/>
      <c r="BS151" s="4"/>
      <c r="BT151" s="118"/>
      <c r="BU151" s="4"/>
      <c r="BV151" s="4"/>
      <c r="BW151" s="4"/>
      <c r="BX151" s="4"/>
      <c r="BY151" s="4"/>
      <c r="BZ151" s="4"/>
      <c r="CA151" s="118"/>
      <c r="CB151" s="4"/>
      <c r="CC151" s="4"/>
      <c r="CD151" s="4"/>
      <c r="CE151" s="135"/>
      <c r="CF151" s="135"/>
      <c r="CG151" s="135"/>
      <c r="CH151" s="135"/>
      <c r="CI151" s="135"/>
      <c r="CJ151" s="135"/>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118"/>
      <c r="DU151" s="4"/>
      <c r="DV151" s="4"/>
      <c r="DW151" s="4"/>
      <c r="DX151" s="4"/>
      <c r="DY151" s="4"/>
      <c r="DZ151" s="4"/>
      <c r="EA151" s="4"/>
      <c r="EB151" s="4"/>
      <c r="EC151" s="4"/>
    </row>
    <row r="152" spans="1:133" s="1" customFormat="1" ht="30" customHeight="1" thickBot="1" x14ac:dyDescent="0.35">
      <c r="A152" s="7"/>
      <c r="B152" s="74" t="s">
        <v>138</v>
      </c>
      <c r="C152" s="75" t="s">
        <v>246</v>
      </c>
      <c r="D152" s="76"/>
      <c r="E152" s="77">
        <v>46381</v>
      </c>
      <c r="F152" s="77">
        <v>46381</v>
      </c>
      <c r="G152" s="31">
        <f t="shared" si="56"/>
        <v>1</v>
      </c>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118"/>
      <c r="AM152" s="4"/>
      <c r="AN152" s="4"/>
      <c r="AO152" s="4"/>
      <c r="AP152" s="4"/>
      <c r="AQ152" s="135"/>
      <c r="AR152" s="4"/>
      <c r="AS152" s="4"/>
      <c r="AT152" s="4"/>
      <c r="AU152" s="4"/>
      <c r="AV152" s="4"/>
      <c r="AW152" s="4"/>
      <c r="AX152" s="4"/>
      <c r="AY152" s="4"/>
      <c r="AZ152" s="4"/>
      <c r="BA152" s="4"/>
      <c r="BB152" s="4"/>
      <c r="BC152" s="135"/>
      <c r="BD152" s="4"/>
      <c r="BE152" s="4"/>
      <c r="BF152" s="4"/>
      <c r="BG152" s="4"/>
      <c r="BH152" s="4"/>
      <c r="BI152" s="4"/>
      <c r="BJ152" s="4"/>
      <c r="BK152" s="4"/>
      <c r="BL152" s="4"/>
      <c r="BM152" s="4"/>
      <c r="BN152" s="4"/>
      <c r="BO152" s="135"/>
      <c r="BP152" s="135"/>
      <c r="BQ152" s="135"/>
      <c r="BR152" s="4"/>
      <c r="BS152" s="4"/>
      <c r="BT152" s="118"/>
      <c r="BU152" s="4"/>
      <c r="BV152" s="4"/>
      <c r="BW152" s="4"/>
      <c r="BX152" s="4"/>
      <c r="BY152" s="4"/>
      <c r="BZ152" s="4"/>
      <c r="CA152" s="118"/>
      <c r="CB152" s="4"/>
      <c r="CC152" s="4"/>
      <c r="CD152" s="4"/>
      <c r="CE152" s="135"/>
      <c r="CF152" s="135"/>
      <c r="CG152" s="135"/>
      <c r="CH152" s="135"/>
      <c r="CI152" s="135"/>
      <c r="CJ152" s="135"/>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118"/>
      <c r="DU152" s="4"/>
      <c r="DV152" s="4"/>
      <c r="DW152" s="4"/>
      <c r="DX152" s="4"/>
      <c r="DY152" s="4"/>
      <c r="DZ152" s="4"/>
      <c r="EA152" s="4"/>
      <c r="EB152" s="4"/>
      <c r="EC152" s="4"/>
    </row>
    <row r="153" spans="1:133" s="1" customFormat="1" ht="30" customHeight="1" thickBot="1" x14ac:dyDescent="0.35">
      <c r="A153" s="7"/>
      <c r="B153" s="74" t="s">
        <v>139</v>
      </c>
      <c r="C153" s="75" t="s">
        <v>246</v>
      </c>
      <c r="D153" s="76"/>
      <c r="E153" s="77">
        <v>46381</v>
      </c>
      <c r="F153" s="77">
        <v>46381</v>
      </c>
      <c r="G153" s="31">
        <f t="shared" si="56"/>
        <v>1</v>
      </c>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118"/>
      <c r="AM153" s="4"/>
      <c r="AN153" s="4"/>
      <c r="AO153" s="4"/>
      <c r="AP153" s="4"/>
      <c r="AQ153" s="135"/>
      <c r="AR153" s="4"/>
      <c r="AS153" s="4"/>
      <c r="AT153" s="4"/>
      <c r="AU153" s="4"/>
      <c r="AV153" s="4"/>
      <c r="AW153" s="4"/>
      <c r="AX153" s="4"/>
      <c r="AY153" s="4"/>
      <c r="AZ153" s="4"/>
      <c r="BA153" s="4"/>
      <c r="BB153" s="4"/>
      <c r="BC153" s="135"/>
      <c r="BD153" s="4"/>
      <c r="BE153" s="4"/>
      <c r="BF153" s="4"/>
      <c r="BG153" s="4"/>
      <c r="BH153" s="4"/>
      <c r="BI153" s="4"/>
      <c r="BJ153" s="4"/>
      <c r="BK153" s="4"/>
      <c r="BL153" s="4"/>
      <c r="BM153" s="4"/>
      <c r="BN153" s="4"/>
      <c r="BO153" s="135"/>
      <c r="BP153" s="135"/>
      <c r="BQ153" s="135"/>
      <c r="BR153" s="4"/>
      <c r="BS153" s="4"/>
      <c r="BT153" s="118"/>
      <c r="BU153" s="4"/>
      <c r="BV153" s="4"/>
      <c r="BW153" s="4"/>
      <c r="BX153" s="4"/>
      <c r="BY153" s="4"/>
      <c r="BZ153" s="4"/>
      <c r="CA153" s="118"/>
      <c r="CB153" s="4"/>
      <c r="CC153" s="4"/>
      <c r="CD153" s="4"/>
      <c r="CE153" s="135"/>
      <c r="CF153" s="135"/>
      <c r="CG153" s="135"/>
      <c r="CH153" s="135"/>
      <c r="CI153" s="135"/>
      <c r="CJ153" s="135"/>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118"/>
      <c r="DU153" s="4"/>
      <c r="DV153" s="4"/>
      <c r="DW153" s="4"/>
      <c r="DX153" s="4"/>
      <c r="DY153" s="4"/>
      <c r="DZ153" s="4"/>
      <c r="EA153" s="4"/>
      <c r="EB153" s="4"/>
      <c r="EC153" s="4"/>
    </row>
    <row r="154" spans="1:133" s="1" customFormat="1" ht="30" customHeight="1" thickBot="1" x14ac:dyDescent="0.35">
      <c r="A154" s="7"/>
      <c r="B154" s="74" t="s">
        <v>149</v>
      </c>
      <c r="C154" s="75" t="s">
        <v>246</v>
      </c>
      <c r="D154" s="76"/>
      <c r="E154" s="77">
        <v>46382</v>
      </c>
      <c r="F154" s="77">
        <v>46382</v>
      </c>
      <c r="G154" s="31">
        <v>1</v>
      </c>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118"/>
      <c r="AM154" s="4"/>
      <c r="AN154" s="4"/>
      <c r="AO154" s="4"/>
      <c r="AP154" s="4"/>
      <c r="AQ154" s="135"/>
      <c r="AR154" s="4"/>
      <c r="AS154" s="4"/>
      <c r="AT154" s="4"/>
      <c r="AU154" s="4"/>
      <c r="AV154" s="4"/>
      <c r="AW154" s="4"/>
      <c r="AX154" s="4"/>
      <c r="AY154" s="4"/>
      <c r="AZ154" s="4"/>
      <c r="BA154" s="4"/>
      <c r="BB154" s="4"/>
      <c r="BC154" s="135"/>
      <c r="BD154" s="4"/>
      <c r="BE154" s="4"/>
      <c r="BF154" s="4"/>
      <c r="BG154" s="4"/>
      <c r="BH154" s="4"/>
      <c r="BI154" s="4"/>
      <c r="BJ154" s="4"/>
      <c r="BK154" s="4"/>
      <c r="BL154" s="4"/>
      <c r="BM154" s="4"/>
      <c r="BN154" s="4"/>
      <c r="BO154" s="135"/>
      <c r="BP154" s="135"/>
      <c r="BQ154" s="135"/>
      <c r="BR154" s="4"/>
      <c r="BS154" s="4"/>
      <c r="BT154" s="118"/>
      <c r="BU154" s="4"/>
      <c r="BV154" s="4"/>
      <c r="BW154" s="4"/>
      <c r="BX154" s="4"/>
      <c r="BY154" s="4"/>
      <c r="BZ154" s="4"/>
      <c r="CA154" s="118"/>
      <c r="CB154" s="4"/>
      <c r="CC154" s="4"/>
      <c r="CD154" s="4"/>
      <c r="CE154" s="135"/>
      <c r="CF154" s="135"/>
      <c r="CG154" s="135"/>
      <c r="CH154" s="135"/>
      <c r="CI154" s="135"/>
      <c r="CJ154" s="135"/>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118"/>
      <c r="DU154" s="4"/>
      <c r="DV154" s="4"/>
      <c r="DW154" s="4"/>
      <c r="DX154" s="4"/>
      <c r="DY154" s="4"/>
      <c r="DZ154" s="4"/>
      <c r="EA154" s="4"/>
      <c r="EB154" s="4"/>
      <c r="EC154" s="4"/>
    </row>
    <row r="155" spans="1:133" s="1" customFormat="1" ht="30" customHeight="1" thickBot="1" x14ac:dyDescent="0.35">
      <c r="A155" s="7"/>
      <c r="B155" s="74" t="s">
        <v>140</v>
      </c>
      <c r="C155" s="75" t="s">
        <v>246</v>
      </c>
      <c r="D155" s="76"/>
      <c r="E155" s="77">
        <v>46383</v>
      </c>
      <c r="F155" s="77">
        <v>46383</v>
      </c>
      <c r="G155" s="31">
        <f t="shared" si="56"/>
        <v>1</v>
      </c>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118"/>
      <c r="AM155" s="4"/>
      <c r="AN155" s="4"/>
      <c r="AO155" s="4"/>
      <c r="AP155" s="4"/>
      <c r="AQ155" s="135"/>
      <c r="AR155" s="4"/>
      <c r="AS155" s="4"/>
      <c r="AT155" s="4"/>
      <c r="AU155" s="4"/>
      <c r="AV155" s="4"/>
      <c r="AW155" s="4"/>
      <c r="AX155" s="4"/>
      <c r="AY155" s="4"/>
      <c r="AZ155" s="4"/>
      <c r="BA155" s="4"/>
      <c r="BB155" s="4"/>
      <c r="BC155" s="135"/>
      <c r="BD155" s="4"/>
      <c r="BE155" s="4"/>
      <c r="BF155" s="4"/>
      <c r="BG155" s="4"/>
      <c r="BH155" s="4"/>
      <c r="BI155" s="4"/>
      <c r="BJ155" s="4"/>
      <c r="BK155" s="4"/>
      <c r="BL155" s="4"/>
      <c r="BM155" s="4"/>
      <c r="BN155" s="4"/>
      <c r="BO155" s="135"/>
      <c r="BP155" s="135"/>
      <c r="BQ155" s="135"/>
      <c r="BR155" s="4"/>
      <c r="BS155" s="4"/>
      <c r="BT155" s="118"/>
      <c r="BU155" s="4"/>
      <c r="BV155" s="4"/>
      <c r="BW155" s="4"/>
      <c r="BX155" s="4"/>
      <c r="BY155" s="4"/>
      <c r="BZ155" s="4"/>
      <c r="CA155" s="118"/>
      <c r="CB155" s="4"/>
      <c r="CC155" s="4"/>
      <c r="CD155" s="4"/>
      <c r="CE155" s="135"/>
      <c r="CF155" s="135"/>
      <c r="CG155" s="135"/>
      <c r="CH155" s="135"/>
      <c r="CI155" s="135"/>
      <c r="CJ155" s="135"/>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118"/>
      <c r="DU155" s="4"/>
      <c r="DV155" s="4"/>
      <c r="DW155" s="4"/>
      <c r="DX155" s="4"/>
      <c r="DY155" s="4"/>
      <c r="DZ155" s="4"/>
      <c r="EA155" s="4"/>
      <c r="EB155" s="4"/>
      <c r="EC155" s="4"/>
    </row>
    <row r="156" spans="1:133" s="1" customFormat="1" ht="30" customHeight="1" thickBot="1" x14ac:dyDescent="0.35">
      <c r="A156" s="7" t="s">
        <v>11</v>
      </c>
      <c r="B156" s="78" t="s">
        <v>133</v>
      </c>
      <c r="C156" s="79"/>
      <c r="D156" s="80"/>
      <c r="E156" s="81"/>
      <c r="F156" s="82"/>
      <c r="G156" s="31" t="str">
        <f t="shared" si="56"/>
        <v/>
      </c>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118"/>
      <c r="AM156" s="4"/>
      <c r="AN156" s="4"/>
      <c r="AO156" s="4"/>
      <c r="AP156" s="4"/>
      <c r="AQ156" s="135"/>
      <c r="AR156" s="4"/>
      <c r="AS156" s="4"/>
      <c r="AT156" s="4"/>
      <c r="AU156" s="4"/>
      <c r="AV156" s="4"/>
      <c r="AW156" s="4"/>
      <c r="AX156" s="4"/>
      <c r="AY156" s="4"/>
      <c r="AZ156" s="4"/>
      <c r="BA156" s="4"/>
      <c r="BB156" s="4"/>
      <c r="BC156" s="135"/>
      <c r="BD156" s="4"/>
      <c r="BE156" s="4"/>
      <c r="BF156" s="4"/>
      <c r="BG156" s="4"/>
      <c r="BH156" s="4"/>
      <c r="BI156" s="4"/>
      <c r="BJ156" s="4"/>
      <c r="BK156" s="4"/>
      <c r="BL156" s="4"/>
      <c r="BM156" s="4"/>
      <c r="BN156" s="4"/>
      <c r="BO156" s="135"/>
      <c r="BP156" s="135"/>
      <c r="BQ156" s="135"/>
      <c r="BR156" s="4"/>
      <c r="BS156" s="4"/>
      <c r="BT156" s="118"/>
      <c r="BU156" s="4"/>
      <c r="BV156" s="4"/>
      <c r="BW156" s="4"/>
      <c r="BX156" s="4"/>
      <c r="BY156" s="4"/>
      <c r="BZ156" s="4"/>
      <c r="CA156" s="118"/>
      <c r="CB156" s="4"/>
      <c r="CC156" s="4"/>
      <c r="CD156" s="4"/>
      <c r="CE156" s="135"/>
      <c r="CF156" s="135"/>
      <c r="CG156" s="135"/>
      <c r="CH156" s="135"/>
      <c r="CI156" s="135"/>
      <c r="CJ156" s="135"/>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118"/>
      <c r="DU156" s="4"/>
      <c r="DV156" s="4"/>
      <c r="DW156" s="4"/>
      <c r="DX156" s="4"/>
      <c r="DY156" s="4"/>
      <c r="DZ156" s="4"/>
      <c r="EA156" s="4"/>
      <c r="EB156" s="4"/>
      <c r="EC156" s="4"/>
    </row>
    <row r="157" spans="1:133" s="1" customFormat="1" ht="30" customHeight="1" thickBot="1" x14ac:dyDescent="0.35">
      <c r="A157" s="7"/>
      <c r="B157" s="83" t="s">
        <v>96</v>
      </c>
      <c r="C157" s="84" t="s">
        <v>246</v>
      </c>
      <c r="D157" s="85"/>
      <c r="E157" s="86">
        <v>46391</v>
      </c>
      <c r="F157" s="86">
        <v>46391</v>
      </c>
      <c r="G157" s="31">
        <f t="shared" si="56"/>
        <v>1</v>
      </c>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118"/>
      <c r="AM157" s="4"/>
      <c r="AN157" s="4"/>
      <c r="AO157" s="4"/>
      <c r="AP157" s="4"/>
      <c r="AQ157" s="135"/>
      <c r="AR157" s="4"/>
      <c r="AS157" s="4"/>
      <c r="AT157" s="4"/>
      <c r="AU157" s="4"/>
      <c r="AV157" s="4"/>
      <c r="AW157" s="4"/>
      <c r="AX157" s="4"/>
      <c r="AY157" s="4"/>
      <c r="AZ157" s="4"/>
      <c r="BA157" s="4"/>
      <c r="BB157" s="4"/>
      <c r="BC157" s="135"/>
      <c r="BD157" s="4"/>
      <c r="BE157" s="4"/>
      <c r="BF157" s="4"/>
      <c r="BG157" s="4"/>
      <c r="BH157" s="4"/>
      <c r="BI157" s="4"/>
      <c r="BJ157" s="4"/>
      <c r="BK157" s="4"/>
      <c r="BL157" s="4"/>
      <c r="BM157" s="4"/>
      <c r="BN157" s="4"/>
      <c r="BO157" s="135"/>
      <c r="BP157" s="135"/>
      <c r="BQ157" s="135"/>
      <c r="BR157" s="4"/>
      <c r="BS157" s="4"/>
      <c r="BT157" s="118"/>
      <c r="BU157" s="4"/>
      <c r="BV157" s="4"/>
      <c r="BW157" s="4"/>
      <c r="BX157" s="4"/>
      <c r="BY157" s="4"/>
      <c r="BZ157" s="4"/>
      <c r="CA157" s="118"/>
      <c r="CB157" s="4"/>
      <c r="CC157" s="4"/>
      <c r="CD157" s="4"/>
      <c r="CE157" s="135"/>
      <c r="CF157" s="135"/>
      <c r="CG157" s="135"/>
      <c r="CH157" s="135"/>
      <c r="CI157" s="135"/>
      <c r="CJ157" s="135"/>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118"/>
      <c r="DU157" s="4"/>
      <c r="DV157" s="4"/>
      <c r="DW157" s="4"/>
      <c r="DX157" s="4"/>
      <c r="DY157" s="4"/>
      <c r="DZ157" s="4"/>
      <c r="EA157" s="4"/>
      <c r="EB157" s="4"/>
      <c r="EC157" s="4"/>
    </row>
    <row r="158" spans="1:133" s="1" customFormat="1" ht="30" customHeight="1" thickBot="1" x14ac:dyDescent="0.35">
      <c r="A158" s="7"/>
      <c r="B158" s="83" t="s">
        <v>97</v>
      </c>
      <c r="C158" s="84" t="s">
        <v>246</v>
      </c>
      <c r="D158" s="85"/>
      <c r="E158" s="86">
        <v>46391</v>
      </c>
      <c r="F158" s="86">
        <v>46391</v>
      </c>
      <c r="G158" s="31">
        <f t="shared" si="56"/>
        <v>1</v>
      </c>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118"/>
      <c r="AM158" s="4"/>
      <c r="AN158" s="4"/>
      <c r="AO158" s="4"/>
      <c r="AP158" s="4"/>
      <c r="AQ158" s="135"/>
      <c r="AR158" s="4"/>
      <c r="AS158" s="4"/>
      <c r="AT158" s="4"/>
      <c r="AU158" s="4"/>
      <c r="AV158" s="4"/>
      <c r="AW158" s="4"/>
      <c r="AX158" s="4"/>
      <c r="AY158" s="4"/>
      <c r="AZ158" s="4"/>
      <c r="BA158" s="4"/>
      <c r="BB158" s="4"/>
      <c r="BC158" s="135"/>
      <c r="BD158" s="4"/>
      <c r="BE158" s="4"/>
      <c r="BF158" s="4"/>
      <c r="BG158" s="4"/>
      <c r="BH158" s="4"/>
      <c r="BI158" s="4"/>
      <c r="BJ158" s="4"/>
      <c r="BK158" s="4"/>
      <c r="BL158" s="4"/>
      <c r="BM158" s="4"/>
      <c r="BN158" s="4"/>
      <c r="BO158" s="135"/>
      <c r="BP158" s="135"/>
      <c r="BQ158" s="135"/>
      <c r="BR158" s="4"/>
      <c r="BS158" s="4"/>
      <c r="BT158" s="118"/>
      <c r="BU158" s="4"/>
      <c r="BV158" s="4"/>
      <c r="BW158" s="4"/>
      <c r="BX158" s="4"/>
      <c r="BY158" s="4"/>
      <c r="BZ158" s="4"/>
      <c r="CA158" s="118"/>
      <c r="CB158" s="4"/>
      <c r="CC158" s="4"/>
      <c r="CD158" s="4"/>
      <c r="CE158" s="135"/>
      <c r="CF158" s="135"/>
      <c r="CG158" s="135"/>
      <c r="CH158" s="135"/>
      <c r="CI158" s="135"/>
      <c r="CJ158" s="135"/>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118"/>
      <c r="DU158" s="4"/>
      <c r="DV158" s="4"/>
      <c r="DW158" s="4"/>
      <c r="DX158" s="4"/>
      <c r="DY158" s="4"/>
      <c r="DZ158" s="4"/>
      <c r="EA158" s="4"/>
      <c r="EB158" s="4"/>
      <c r="EC158" s="4"/>
    </row>
    <row r="159" spans="1:133" s="1" customFormat="1" ht="30" customHeight="1" thickBot="1" x14ac:dyDescent="0.35">
      <c r="A159" s="7"/>
      <c r="B159" s="83" t="s">
        <v>98</v>
      </c>
      <c r="C159" s="84" t="s">
        <v>246</v>
      </c>
      <c r="D159" s="85"/>
      <c r="E159" s="86">
        <v>46391</v>
      </c>
      <c r="F159" s="86">
        <v>46391</v>
      </c>
      <c r="G159" s="31">
        <f t="shared" si="56"/>
        <v>1</v>
      </c>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118"/>
      <c r="AM159" s="4"/>
      <c r="AN159" s="4"/>
      <c r="AO159" s="4"/>
      <c r="AP159" s="4"/>
      <c r="AQ159" s="135"/>
      <c r="AR159" s="4"/>
      <c r="AS159" s="4"/>
      <c r="AT159" s="4"/>
      <c r="AU159" s="4"/>
      <c r="AV159" s="4"/>
      <c r="AW159" s="4"/>
      <c r="AX159" s="4"/>
      <c r="AY159" s="4"/>
      <c r="AZ159" s="4"/>
      <c r="BA159" s="4"/>
      <c r="BB159" s="4"/>
      <c r="BC159" s="135"/>
      <c r="BD159" s="4"/>
      <c r="BE159" s="4"/>
      <c r="BF159" s="4"/>
      <c r="BG159" s="4"/>
      <c r="BH159" s="4"/>
      <c r="BI159" s="4"/>
      <c r="BJ159" s="4"/>
      <c r="BK159" s="4"/>
      <c r="BL159" s="4"/>
      <c r="BM159" s="4"/>
      <c r="BN159" s="4"/>
      <c r="BO159" s="135"/>
      <c r="BP159" s="135"/>
      <c r="BQ159" s="135"/>
      <c r="BR159" s="4"/>
      <c r="BS159" s="4"/>
      <c r="BT159" s="118"/>
      <c r="BU159" s="4"/>
      <c r="BV159" s="4"/>
      <c r="BW159" s="4"/>
      <c r="BX159" s="4"/>
      <c r="BY159" s="4"/>
      <c r="BZ159" s="4"/>
      <c r="CA159" s="118"/>
      <c r="CB159" s="4"/>
      <c r="CC159" s="4"/>
      <c r="CD159" s="4"/>
      <c r="CE159" s="135"/>
      <c r="CF159" s="135"/>
      <c r="CG159" s="135"/>
      <c r="CH159" s="135"/>
      <c r="CI159" s="135"/>
      <c r="CJ159" s="135"/>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118"/>
      <c r="DU159" s="4"/>
      <c r="DV159" s="4"/>
      <c r="DW159" s="4"/>
      <c r="DX159" s="4"/>
      <c r="DY159" s="4"/>
      <c r="DZ159" s="4"/>
      <c r="EA159" s="4"/>
      <c r="EB159" s="4"/>
      <c r="EC159" s="4"/>
    </row>
    <row r="160" spans="1:133" s="1" customFormat="1" ht="30" customHeight="1" thickBot="1" x14ac:dyDescent="0.35">
      <c r="A160" s="7"/>
      <c r="B160" s="83" t="s">
        <v>100</v>
      </c>
      <c r="C160" s="84" t="s">
        <v>246</v>
      </c>
      <c r="D160" s="85"/>
      <c r="E160" s="86">
        <v>46391</v>
      </c>
      <c r="F160" s="86">
        <v>46391</v>
      </c>
      <c r="G160" s="31">
        <f t="shared" si="56"/>
        <v>1</v>
      </c>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118"/>
      <c r="AM160" s="4"/>
      <c r="AN160" s="4"/>
      <c r="AO160" s="4"/>
      <c r="AP160" s="4"/>
      <c r="AQ160" s="135"/>
      <c r="AR160" s="4"/>
      <c r="AS160" s="4"/>
      <c r="AT160" s="4"/>
      <c r="AU160" s="4"/>
      <c r="AV160" s="4"/>
      <c r="AW160" s="4"/>
      <c r="AX160" s="4"/>
      <c r="AY160" s="4"/>
      <c r="AZ160" s="4"/>
      <c r="BA160" s="4"/>
      <c r="BB160" s="4"/>
      <c r="BC160" s="135"/>
      <c r="BD160" s="4"/>
      <c r="BE160" s="4"/>
      <c r="BF160" s="4"/>
      <c r="BG160" s="4"/>
      <c r="BH160" s="4"/>
      <c r="BI160" s="4"/>
      <c r="BJ160" s="4"/>
      <c r="BK160" s="4"/>
      <c r="BL160" s="4"/>
      <c r="BM160" s="4"/>
      <c r="BN160" s="4"/>
      <c r="BO160" s="135"/>
      <c r="BP160" s="135"/>
      <c r="BQ160" s="135"/>
      <c r="BR160" s="4"/>
      <c r="BS160" s="4"/>
      <c r="BT160" s="118"/>
      <c r="BU160" s="4"/>
      <c r="BV160" s="4"/>
      <c r="BW160" s="4"/>
      <c r="BX160" s="4"/>
      <c r="BY160" s="4"/>
      <c r="BZ160" s="4"/>
      <c r="CA160" s="118"/>
      <c r="CB160" s="4"/>
      <c r="CC160" s="4"/>
      <c r="CD160" s="4"/>
      <c r="CE160" s="135"/>
      <c r="CF160" s="135"/>
      <c r="CG160" s="135"/>
      <c r="CH160" s="135"/>
      <c r="CI160" s="135"/>
      <c r="CJ160" s="135"/>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118"/>
      <c r="DU160" s="4"/>
      <c r="DV160" s="4"/>
      <c r="DW160" s="4"/>
      <c r="DX160" s="4"/>
      <c r="DY160" s="4"/>
      <c r="DZ160" s="4"/>
      <c r="EA160" s="4"/>
      <c r="EB160" s="4"/>
      <c r="EC160" s="4"/>
    </row>
    <row r="161" spans="1:133" s="1" customFormat="1" ht="30" customHeight="1" thickBot="1" x14ac:dyDescent="0.35">
      <c r="A161" s="7"/>
      <c r="B161" s="83" t="s">
        <v>102</v>
      </c>
      <c r="C161" s="84" t="s">
        <v>246</v>
      </c>
      <c r="D161" s="85"/>
      <c r="E161" s="86">
        <v>46392</v>
      </c>
      <c r="F161" s="86">
        <v>46392</v>
      </c>
      <c r="G161" s="31">
        <f t="shared" si="56"/>
        <v>1</v>
      </c>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118"/>
      <c r="AM161" s="4"/>
      <c r="AN161" s="4"/>
      <c r="AO161" s="4"/>
      <c r="AP161" s="4"/>
      <c r="AQ161" s="135"/>
      <c r="AR161" s="4"/>
      <c r="AS161" s="4"/>
      <c r="AT161" s="4"/>
      <c r="AU161" s="4"/>
      <c r="AV161" s="4"/>
      <c r="AW161" s="4"/>
      <c r="AX161" s="4"/>
      <c r="AY161" s="4"/>
      <c r="AZ161" s="4"/>
      <c r="BA161" s="4"/>
      <c r="BB161" s="4"/>
      <c r="BC161" s="135"/>
      <c r="BD161" s="4"/>
      <c r="BE161" s="4"/>
      <c r="BF161" s="4"/>
      <c r="BG161" s="4"/>
      <c r="BH161" s="4"/>
      <c r="BI161" s="4"/>
      <c r="BJ161" s="4"/>
      <c r="BK161" s="4"/>
      <c r="BL161" s="4"/>
      <c r="BM161" s="4"/>
      <c r="BN161" s="4"/>
      <c r="BO161" s="135"/>
      <c r="BP161" s="135"/>
      <c r="BQ161" s="135"/>
      <c r="BR161" s="4"/>
      <c r="BS161" s="4"/>
      <c r="BT161" s="118"/>
      <c r="BU161" s="4"/>
      <c r="BV161" s="4"/>
      <c r="BW161" s="4"/>
      <c r="BX161" s="4"/>
      <c r="BY161" s="4"/>
      <c r="BZ161" s="4"/>
      <c r="CA161" s="118"/>
      <c r="CB161" s="4"/>
      <c r="CC161" s="4"/>
      <c r="CD161" s="4"/>
      <c r="CE161" s="135"/>
      <c r="CF161" s="135"/>
      <c r="CG161" s="135"/>
      <c r="CH161" s="135"/>
      <c r="CI161" s="135"/>
      <c r="CJ161" s="135"/>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118"/>
      <c r="DU161" s="4"/>
      <c r="DV161" s="4"/>
      <c r="DW161" s="4"/>
      <c r="DX161" s="4"/>
      <c r="DY161" s="4"/>
      <c r="DZ161" s="4"/>
      <c r="EA161" s="4"/>
      <c r="EB161" s="4"/>
      <c r="EC161" s="4"/>
    </row>
    <row r="162" spans="1:133" s="1" customFormat="1" ht="30" customHeight="1" thickBot="1" x14ac:dyDescent="0.35">
      <c r="A162" s="7"/>
      <c r="B162" s="83" t="s">
        <v>107</v>
      </c>
      <c r="C162" s="84" t="s">
        <v>246</v>
      </c>
      <c r="D162" s="85"/>
      <c r="E162" s="86">
        <v>46392</v>
      </c>
      <c r="F162" s="86">
        <v>46392</v>
      </c>
      <c r="G162" s="31">
        <f t="shared" si="56"/>
        <v>1</v>
      </c>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118"/>
      <c r="AM162" s="4"/>
      <c r="AN162" s="4"/>
      <c r="AO162" s="4"/>
      <c r="AP162" s="4"/>
      <c r="AQ162" s="135"/>
      <c r="AR162" s="4"/>
      <c r="AS162" s="4"/>
      <c r="AT162" s="4"/>
      <c r="AU162" s="4"/>
      <c r="AV162" s="4"/>
      <c r="AW162" s="4"/>
      <c r="AX162" s="4"/>
      <c r="AY162" s="4"/>
      <c r="AZ162" s="4"/>
      <c r="BA162" s="4"/>
      <c r="BB162" s="4"/>
      <c r="BC162" s="135"/>
      <c r="BD162" s="4"/>
      <c r="BE162" s="4"/>
      <c r="BF162" s="4"/>
      <c r="BG162" s="4"/>
      <c r="BH162" s="4"/>
      <c r="BI162" s="4"/>
      <c r="BJ162" s="4"/>
      <c r="BK162" s="4"/>
      <c r="BL162" s="4"/>
      <c r="BM162" s="4"/>
      <c r="BN162" s="4"/>
      <c r="BO162" s="135"/>
      <c r="BP162" s="135"/>
      <c r="BQ162" s="135"/>
      <c r="BR162" s="4"/>
      <c r="BS162" s="4"/>
      <c r="BT162" s="118"/>
      <c r="BU162" s="4"/>
      <c r="BV162" s="4"/>
      <c r="BW162" s="4"/>
      <c r="BX162" s="4"/>
      <c r="BY162" s="4"/>
      <c r="BZ162" s="4"/>
      <c r="CA162" s="118"/>
      <c r="CB162" s="4"/>
      <c r="CC162" s="4"/>
      <c r="CD162" s="4"/>
      <c r="CE162" s="135"/>
      <c r="CF162" s="135"/>
      <c r="CG162" s="135"/>
      <c r="CH162" s="135"/>
      <c r="CI162" s="135"/>
      <c r="CJ162" s="135"/>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118"/>
      <c r="DU162" s="4"/>
      <c r="DV162" s="4"/>
      <c r="DW162" s="4"/>
      <c r="DX162" s="4"/>
      <c r="DY162" s="4"/>
      <c r="DZ162" s="4"/>
      <c r="EA162" s="4"/>
      <c r="EB162" s="4"/>
      <c r="EC162" s="4"/>
    </row>
    <row r="163" spans="1:133" s="1" customFormat="1" ht="30" customHeight="1" thickBot="1" x14ac:dyDescent="0.35">
      <c r="A163" s="7"/>
      <c r="B163" s="83" t="s">
        <v>110</v>
      </c>
      <c r="C163" s="84" t="s">
        <v>246</v>
      </c>
      <c r="D163" s="85"/>
      <c r="E163" s="86">
        <v>46392</v>
      </c>
      <c r="F163" s="86">
        <v>46392</v>
      </c>
      <c r="G163" s="31">
        <f t="shared" si="56"/>
        <v>1</v>
      </c>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118"/>
      <c r="AM163" s="4"/>
      <c r="AN163" s="4"/>
      <c r="AO163" s="4"/>
      <c r="AP163" s="4"/>
      <c r="AQ163" s="135"/>
      <c r="AR163" s="4"/>
      <c r="AS163" s="4"/>
      <c r="AT163" s="4"/>
      <c r="AU163" s="4"/>
      <c r="AV163" s="4"/>
      <c r="AW163" s="4"/>
      <c r="AX163" s="4"/>
      <c r="AY163" s="4"/>
      <c r="AZ163" s="4"/>
      <c r="BA163" s="4"/>
      <c r="BB163" s="4"/>
      <c r="BC163" s="135"/>
      <c r="BD163" s="4"/>
      <c r="BE163" s="4"/>
      <c r="BF163" s="4"/>
      <c r="BG163" s="4"/>
      <c r="BH163" s="4"/>
      <c r="BI163" s="4"/>
      <c r="BJ163" s="4"/>
      <c r="BK163" s="4"/>
      <c r="BL163" s="4"/>
      <c r="BM163" s="4"/>
      <c r="BN163" s="4"/>
      <c r="BO163" s="135"/>
      <c r="BP163" s="135"/>
      <c r="BQ163" s="135"/>
      <c r="BR163" s="4"/>
      <c r="BS163" s="4"/>
      <c r="BT163" s="118"/>
      <c r="BU163" s="4"/>
      <c r="BV163" s="4"/>
      <c r="BW163" s="4"/>
      <c r="BX163" s="4"/>
      <c r="BY163" s="4"/>
      <c r="BZ163" s="4"/>
      <c r="CA163" s="118"/>
      <c r="CB163" s="4"/>
      <c r="CC163" s="4"/>
      <c r="CD163" s="4"/>
      <c r="CE163" s="135"/>
      <c r="CF163" s="135"/>
      <c r="CG163" s="135"/>
      <c r="CH163" s="135"/>
      <c r="CI163" s="135"/>
      <c r="CJ163" s="135"/>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118"/>
      <c r="DU163" s="4"/>
      <c r="DV163" s="4"/>
      <c r="DW163" s="4"/>
      <c r="DX163" s="4"/>
      <c r="DY163" s="4"/>
      <c r="DZ163" s="4"/>
      <c r="EA163" s="4"/>
      <c r="EB163" s="4"/>
      <c r="EC163" s="4"/>
    </row>
    <row r="164" spans="1:133" s="1" customFormat="1" ht="30" customHeight="1" thickBot="1" x14ac:dyDescent="0.35">
      <c r="A164" s="7"/>
      <c r="B164" s="83" t="s">
        <v>143</v>
      </c>
      <c r="C164" s="84" t="s">
        <v>246</v>
      </c>
      <c r="D164" s="85"/>
      <c r="E164" s="86">
        <v>46392</v>
      </c>
      <c r="F164" s="86">
        <v>46392</v>
      </c>
      <c r="G164" s="31">
        <f t="shared" si="56"/>
        <v>1</v>
      </c>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118"/>
      <c r="AM164" s="4"/>
      <c r="AN164" s="4"/>
      <c r="AO164" s="4"/>
      <c r="AP164" s="4"/>
      <c r="AQ164" s="135"/>
      <c r="AR164" s="4"/>
      <c r="AS164" s="4"/>
      <c r="AT164" s="4"/>
      <c r="AU164" s="4"/>
      <c r="AV164" s="4"/>
      <c r="AW164" s="4"/>
      <c r="AX164" s="4"/>
      <c r="AY164" s="4"/>
      <c r="AZ164" s="4"/>
      <c r="BA164" s="4"/>
      <c r="BB164" s="4"/>
      <c r="BC164" s="135"/>
      <c r="BD164" s="4"/>
      <c r="BE164" s="4"/>
      <c r="BF164" s="4"/>
      <c r="BG164" s="4"/>
      <c r="BH164" s="4"/>
      <c r="BI164" s="4"/>
      <c r="BJ164" s="4"/>
      <c r="BK164" s="4"/>
      <c r="BL164" s="4"/>
      <c r="BM164" s="4"/>
      <c r="BN164" s="4"/>
      <c r="BO164" s="135"/>
      <c r="BP164" s="135"/>
      <c r="BQ164" s="135"/>
      <c r="BR164" s="4"/>
      <c r="BS164" s="4"/>
      <c r="BT164" s="118"/>
      <c r="BU164" s="4"/>
      <c r="BV164" s="4"/>
      <c r="BW164" s="4"/>
      <c r="BX164" s="4"/>
      <c r="BY164" s="4"/>
      <c r="BZ164" s="4"/>
      <c r="CA164" s="118"/>
      <c r="CB164" s="4"/>
      <c r="CC164" s="4"/>
      <c r="CD164" s="4"/>
      <c r="CE164" s="135"/>
      <c r="CF164" s="135"/>
      <c r="CG164" s="135"/>
      <c r="CH164" s="135"/>
      <c r="CI164" s="135"/>
      <c r="CJ164" s="135"/>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118"/>
      <c r="DU164" s="4"/>
      <c r="DV164" s="4"/>
      <c r="DW164" s="4"/>
      <c r="DX164" s="4"/>
      <c r="DY164" s="4"/>
      <c r="DZ164" s="4"/>
      <c r="EA164" s="4"/>
      <c r="EB164" s="4"/>
      <c r="EC164" s="4"/>
    </row>
    <row r="165" spans="1:133" s="1" customFormat="1" ht="30" customHeight="1" thickBot="1" x14ac:dyDescent="0.35">
      <c r="A165" s="7"/>
      <c r="B165" s="83" t="s">
        <v>119</v>
      </c>
      <c r="C165" s="84" t="s">
        <v>246</v>
      </c>
      <c r="D165" s="85"/>
      <c r="E165" s="86">
        <v>46392</v>
      </c>
      <c r="F165" s="86">
        <v>46392</v>
      </c>
      <c r="G165" s="31">
        <f t="shared" si="56"/>
        <v>1</v>
      </c>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118"/>
      <c r="AM165" s="4"/>
      <c r="AN165" s="4"/>
      <c r="AO165" s="4"/>
      <c r="AP165" s="4"/>
      <c r="AQ165" s="135"/>
      <c r="AR165" s="4"/>
      <c r="AS165" s="4"/>
      <c r="AT165" s="4"/>
      <c r="AU165" s="4"/>
      <c r="AV165" s="4"/>
      <c r="AW165" s="4"/>
      <c r="AX165" s="4"/>
      <c r="AY165" s="4"/>
      <c r="AZ165" s="4"/>
      <c r="BA165" s="4"/>
      <c r="BB165" s="4"/>
      <c r="BC165" s="135"/>
      <c r="BD165" s="4"/>
      <c r="BE165" s="4"/>
      <c r="BF165" s="4"/>
      <c r="BG165" s="4"/>
      <c r="BH165" s="4"/>
      <c r="BI165" s="4"/>
      <c r="BJ165" s="4"/>
      <c r="BK165" s="4"/>
      <c r="BL165" s="4"/>
      <c r="BM165" s="4"/>
      <c r="BN165" s="4"/>
      <c r="BO165" s="135"/>
      <c r="BP165" s="135"/>
      <c r="BQ165" s="135"/>
      <c r="BR165" s="4"/>
      <c r="BS165" s="4"/>
      <c r="BT165" s="118"/>
      <c r="BU165" s="4"/>
      <c r="BV165" s="4"/>
      <c r="BW165" s="4"/>
      <c r="BX165" s="4"/>
      <c r="BY165" s="4"/>
      <c r="BZ165" s="4"/>
      <c r="CA165" s="118"/>
      <c r="CB165" s="4"/>
      <c r="CC165" s="4"/>
      <c r="CD165" s="4"/>
      <c r="CE165" s="135"/>
      <c r="CF165" s="135"/>
      <c r="CG165" s="135"/>
      <c r="CH165" s="135"/>
      <c r="CI165" s="135"/>
      <c r="CJ165" s="135"/>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118"/>
      <c r="DU165" s="4"/>
      <c r="DV165" s="4"/>
      <c r="DW165" s="4"/>
      <c r="DX165" s="4"/>
      <c r="DY165" s="4"/>
      <c r="DZ165" s="4"/>
      <c r="EA165" s="4"/>
      <c r="EB165" s="4"/>
      <c r="EC165" s="4"/>
    </row>
    <row r="166" spans="1:133" s="1" customFormat="1" ht="30" customHeight="1" thickBot="1" x14ac:dyDescent="0.35">
      <c r="A166" s="7" t="s">
        <v>11</v>
      </c>
      <c r="B166" s="78" t="s">
        <v>134</v>
      </c>
      <c r="C166" s="79"/>
      <c r="D166" s="80"/>
      <c r="E166" s="81"/>
      <c r="F166" s="82"/>
      <c r="G166" s="31" t="str">
        <f t="shared" si="56"/>
        <v/>
      </c>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118"/>
      <c r="AM166" s="4"/>
      <c r="AN166" s="4"/>
      <c r="AO166" s="4"/>
      <c r="AP166" s="4"/>
      <c r="AQ166" s="135"/>
      <c r="AR166" s="4"/>
      <c r="AS166" s="4"/>
      <c r="AT166" s="4"/>
      <c r="AU166" s="4"/>
      <c r="AV166" s="4"/>
      <c r="AW166" s="4"/>
      <c r="AX166" s="4"/>
      <c r="AY166" s="4"/>
      <c r="AZ166" s="4"/>
      <c r="BA166" s="4"/>
      <c r="BB166" s="4"/>
      <c r="BC166" s="135"/>
      <c r="BD166" s="4"/>
      <c r="BE166" s="4"/>
      <c r="BF166" s="4"/>
      <c r="BG166" s="4"/>
      <c r="BH166" s="4"/>
      <c r="BI166" s="4"/>
      <c r="BJ166" s="4"/>
      <c r="BK166" s="4"/>
      <c r="BL166" s="4"/>
      <c r="BM166" s="4"/>
      <c r="BN166" s="4"/>
      <c r="BO166" s="135"/>
      <c r="BP166" s="135"/>
      <c r="BQ166" s="135"/>
      <c r="BR166" s="4"/>
      <c r="BS166" s="4"/>
      <c r="BT166" s="118"/>
      <c r="BU166" s="4"/>
      <c r="BV166" s="4"/>
      <c r="BW166" s="4"/>
      <c r="BX166" s="4"/>
      <c r="BY166" s="4"/>
      <c r="BZ166" s="4"/>
      <c r="CA166" s="118"/>
      <c r="CB166" s="4"/>
      <c r="CC166" s="4"/>
      <c r="CD166" s="4"/>
      <c r="CE166" s="135"/>
      <c r="CF166" s="135"/>
      <c r="CG166" s="135"/>
      <c r="CH166" s="135"/>
      <c r="CI166" s="135"/>
      <c r="CJ166" s="135"/>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118"/>
      <c r="DU166" s="4"/>
      <c r="DV166" s="4"/>
      <c r="DW166" s="4"/>
      <c r="DX166" s="4"/>
      <c r="DY166" s="4"/>
      <c r="DZ166" s="4"/>
      <c r="EA166" s="4"/>
      <c r="EB166" s="4"/>
      <c r="EC166" s="4"/>
    </row>
    <row r="167" spans="1:133" s="1" customFormat="1" ht="30" customHeight="1" thickBot="1" x14ac:dyDescent="0.35">
      <c r="A167" s="7"/>
      <c r="B167" s="83" t="s">
        <v>96</v>
      </c>
      <c r="C167" s="84" t="s">
        <v>246</v>
      </c>
      <c r="D167" s="85"/>
      <c r="E167" s="86">
        <v>46393</v>
      </c>
      <c r="F167" s="86">
        <v>46393</v>
      </c>
      <c r="G167" s="31">
        <f t="shared" si="56"/>
        <v>1</v>
      </c>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118"/>
      <c r="AM167" s="4"/>
      <c r="AN167" s="4"/>
      <c r="AO167" s="4"/>
      <c r="AP167" s="4"/>
      <c r="AQ167" s="135"/>
      <c r="AR167" s="4"/>
      <c r="AS167" s="4"/>
      <c r="AT167" s="4"/>
      <c r="AU167" s="4"/>
      <c r="AV167" s="4"/>
      <c r="AW167" s="4"/>
      <c r="AX167" s="4"/>
      <c r="AY167" s="4"/>
      <c r="AZ167" s="4"/>
      <c r="BA167" s="4"/>
      <c r="BB167" s="4"/>
      <c r="BC167" s="135"/>
      <c r="BD167" s="4"/>
      <c r="BE167" s="4"/>
      <c r="BF167" s="4"/>
      <c r="BG167" s="4"/>
      <c r="BH167" s="4"/>
      <c r="BI167" s="4"/>
      <c r="BJ167" s="4"/>
      <c r="BK167" s="4"/>
      <c r="BL167" s="4"/>
      <c r="BM167" s="4"/>
      <c r="BN167" s="4"/>
      <c r="BO167" s="135"/>
      <c r="BP167" s="135"/>
      <c r="BQ167" s="135"/>
      <c r="BR167" s="4"/>
      <c r="BS167" s="4"/>
      <c r="BT167" s="118"/>
      <c r="BU167" s="4"/>
      <c r="BV167" s="4"/>
      <c r="BW167" s="4"/>
      <c r="BX167" s="4"/>
      <c r="BY167" s="4"/>
      <c r="BZ167" s="4"/>
      <c r="CA167" s="118"/>
      <c r="CB167" s="4"/>
      <c r="CC167" s="4"/>
      <c r="CD167" s="4"/>
      <c r="CE167" s="135"/>
      <c r="CF167" s="135"/>
      <c r="CG167" s="135"/>
      <c r="CH167" s="135"/>
      <c r="CI167" s="135"/>
      <c r="CJ167" s="135"/>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118"/>
      <c r="DU167" s="4"/>
      <c r="DV167" s="4"/>
      <c r="DW167" s="4"/>
      <c r="DX167" s="4"/>
      <c r="DY167" s="4"/>
      <c r="DZ167" s="4"/>
      <c r="EA167" s="4"/>
      <c r="EB167" s="4"/>
      <c r="EC167" s="4"/>
    </row>
    <row r="168" spans="1:133" s="1" customFormat="1" ht="30" customHeight="1" thickBot="1" x14ac:dyDescent="0.35">
      <c r="A168" s="7"/>
      <c r="B168" s="83" t="s">
        <v>97</v>
      </c>
      <c r="C168" s="84" t="s">
        <v>246</v>
      </c>
      <c r="D168" s="85"/>
      <c r="E168" s="86">
        <v>46393</v>
      </c>
      <c r="F168" s="86">
        <v>46393</v>
      </c>
      <c r="G168" s="31">
        <f t="shared" si="56"/>
        <v>1</v>
      </c>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118"/>
      <c r="AM168" s="4"/>
      <c r="AN168" s="4"/>
      <c r="AO168" s="4"/>
      <c r="AP168" s="4"/>
      <c r="AQ168" s="135"/>
      <c r="AR168" s="4"/>
      <c r="AS168" s="4"/>
      <c r="AT168" s="4"/>
      <c r="AU168" s="4"/>
      <c r="AV168" s="4"/>
      <c r="AW168" s="4"/>
      <c r="AX168" s="4"/>
      <c r="AY168" s="4"/>
      <c r="AZ168" s="4"/>
      <c r="BA168" s="4"/>
      <c r="BB168" s="4"/>
      <c r="BC168" s="135"/>
      <c r="BD168" s="4"/>
      <c r="BE168" s="4"/>
      <c r="BF168" s="4"/>
      <c r="BG168" s="4"/>
      <c r="BH168" s="4"/>
      <c r="BI168" s="4"/>
      <c r="BJ168" s="4"/>
      <c r="BK168" s="4"/>
      <c r="BL168" s="4"/>
      <c r="BM168" s="4"/>
      <c r="BN168" s="4"/>
      <c r="BO168" s="135"/>
      <c r="BP168" s="135"/>
      <c r="BQ168" s="135"/>
      <c r="BR168" s="4"/>
      <c r="BS168" s="4"/>
      <c r="BT168" s="118"/>
      <c r="BU168" s="4"/>
      <c r="BV168" s="4"/>
      <c r="BW168" s="4"/>
      <c r="BX168" s="4"/>
      <c r="BY168" s="4"/>
      <c r="BZ168" s="4"/>
      <c r="CA168" s="118"/>
      <c r="CB168" s="4"/>
      <c r="CC168" s="4"/>
      <c r="CD168" s="4"/>
      <c r="CE168" s="135"/>
      <c r="CF168" s="135"/>
      <c r="CG168" s="135"/>
      <c r="CH168" s="135"/>
      <c r="CI168" s="135"/>
      <c r="CJ168" s="135"/>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118"/>
      <c r="DU168" s="4"/>
      <c r="DV168" s="4"/>
      <c r="DW168" s="4"/>
      <c r="DX168" s="4"/>
      <c r="DY168" s="4"/>
      <c r="DZ168" s="4"/>
      <c r="EA168" s="4"/>
      <c r="EB168" s="4"/>
      <c r="EC168" s="4"/>
    </row>
    <row r="169" spans="1:133" s="1" customFormat="1" ht="30" customHeight="1" thickBot="1" x14ac:dyDescent="0.35">
      <c r="A169" s="7"/>
      <c r="B169" s="83" t="s">
        <v>98</v>
      </c>
      <c r="C169" s="84" t="s">
        <v>246</v>
      </c>
      <c r="D169" s="85"/>
      <c r="E169" s="86">
        <v>46393</v>
      </c>
      <c r="F169" s="86">
        <v>46393</v>
      </c>
      <c r="G169" s="31">
        <f t="shared" si="56"/>
        <v>1</v>
      </c>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118"/>
      <c r="AM169" s="4"/>
      <c r="AN169" s="4"/>
      <c r="AO169" s="4"/>
      <c r="AP169" s="4"/>
      <c r="AQ169" s="135"/>
      <c r="AR169" s="4"/>
      <c r="AS169" s="4"/>
      <c r="AT169" s="4"/>
      <c r="AU169" s="4"/>
      <c r="AV169" s="4"/>
      <c r="AW169" s="4"/>
      <c r="AX169" s="4"/>
      <c r="AY169" s="4"/>
      <c r="AZ169" s="4"/>
      <c r="BA169" s="4"/>
      <c r="BB169" s="4"/>
      <c r="BC169" s="135"/>
      <c r="BD169" s="4"/>
      <c r="BE169" s="4"/>
      <c r="BF169" s="4"/>
      <c r="BG169" s="4"/>
      <c r="BH169" s="4"/>
      <c r="BI169" s="4"/>
      <c r="BJ169" s="4"/>
      <c r="BK169" s="4"/>
      <c r="BL169" s="4"/>
      <c r="BM169" s="4"/>
      <c r="BN169" s="4"/>
      <c r="BO169" s="135"/>
      <c r="BP169" s="135"/>
      <c r="BQ169" s="135"/>
      <c r="BR169" s="4"/>
      <c r="BS169" s="4"/>
      <c r="BT169" s="118"/>
      <c r="BU169" s="4"/>
      <c r="BV169" s="4"/>
      <c r="BW169" s="4"/>
      <c r="BX169" s="4"/>
      <c r="BY169" s="4"/>
      <c r="BZ169" s="4"/>
      <c r="CA169" s="118"/>
      <c r="CB169" s="4"/>
      <c r="CC169" s="4"/>
      <c r="CD169" s="4"/>
      <c r="CE169" s="135"/>
      <c r="CF169" s="135"/>
      <c r="CG169" s="135"/>
      <c r="CH169" s="135"/>
      <c r="CI169" s="135"/>
      <c r="CJ169" s="135"/>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118"/>
      <c r="DU169" s="4"/>
      <c r="DV169" s="4"/>
      <c r="DW169" s="4"/>
      <c r="DX169" s="4"/>
      <c r="DY169" s="4"/>
      <c r="DZ169" s="4"/>
      <c r="EA169" s="4"/>
      <c r="EB169" s="4"/>
      <c r="EC169" s="4"/>
    </row>
    <row r="170" spans="1:133" s="1" customFormat="1" ht="30" customHeight="1" thickBot="1" x14ac:dyDescent="0.35">
      <c r="A170" s="7"/>
      <c r="B170" s="83" t="s">
        <v>100</v>
      </c>
      <c r="C170" s="84" t="s">
        <v>246</v>
      </c>
      <c r="D170" s="85"/>
      <c r="E170" s="86">
        <v>46393</v>
      </c>
      <c r="F170" s="86">
        <v>46393</v>
      </c>
      <c r="G170" s="31">
        <f t="shared" si="56"/>
        <v>1</v>
      </c>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118"/>
      <c r="AM170" s="4"/>
      <c r="AN170" s="4"/>
      <c r="AO170" s="4"/>
      <c r="AP170" s="4"/>
      <c r="AQ170" s="135"/>
      <c r="AR170" s="4"/>
      <c r="AS170" s="4"/>
      <c r="AT170" s="4"/>
      <c r="AU170" s="4"/>
      <c r="AV170" s="4"/>
      <c r="AW170" s="4"/>
      <c r="AX170" s="4"/>
      <c r="AY170" s="4"/>
      <c r="AZ170" s="4"/>
      <c r="BA170" s="4"/>
      <c r="BB170" s="4"/>
      <c r="BC170" s="135"/>
      <c r="BD170" s="4"/>
      <c r="BE170" s="4"/>
      <c r="BF170" s="4"/>
      <c r="BG170" s="4"/>
      <c r="BH170" s="4"/>
      <c r="BI170" s="4"/>
      <c r="BJ170" s="4"/>
      <c r="BK170" s="4"/>
      <c r="BL170" s="4"/>
      <c r="BM170" s="4"/>
      <c r="BN170" s="4"/>
      <c r="BO170" s="135"/>
      <c r="BP170" s="135"/>
      <c r="BQ170" s="135"/>
      <c r="BR170" s="4"/>
      <c r="BS170" s="4"/>
      <c r="BT170" s="118"/>
      <c r="BU170" s="4"/>
      <c r="BV170" s="4"/>
      <c r="BW170" s="4"/>
      <c r="BX170" s="4"/>
      <c r="BY170" s="4"/>
      <c r="BZ170" s="4"/>
      <c r="CA170" s="118"/>
      <c r="CB170" s="4"/>
      <c r="CC170" s="4"/>
      <c r="CD170" s="4"/>
      <c r="CE170" s="135"/>
      <c r="CF170" s="135"/>
      <c r="CG170" s="135"/>
      <c r="CH170" s="135"/>
      <c r="CI170" s="135"/>
      <c r="CJ170" s="135"/>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118"/>
      <c r="DU170" s="4"/>
      <c r="DV170" s="4"/>
      <c r="DW170" s="4"/>
      <c r="DX170" s="4"/>
      <c r="DY170" s="4"/>
      <c r="DZ170" s="4"/>
      <c r="EA170" s="4"/>
      <c r="EB170" s="4"/>
      <c r="EC170" s="4"/>
    </row>
    <row r="171" spans="1:133" s="1" customFormat="1" ht="30" customHeight="1" thickBot="1" x14ac:dyDescent="0.35">
      <c r="A171" s="7"/>
      <c r="B171" s="83" t="s">
        <v>102</v>
      </c>
      <c r="C171" s="84" t="s">
        <v>246</v>
      </c>
      <c r="D171" s="85"/>
      <c r="E171" s="86">
        <v>46393</v>
      </c>
      <c r="F171" s="86">
        <v>46393</v>
      </c>
      <c r="G171" s="31">
        <f t="shared" si="56"/>
        <v>1</v>
      </c>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118"/>
      <c r="AM171" s="4"/>
      <c r="AN171" s="4"/>
      <c r="AO171" s="4"/>
      <c r="AP171" s="4"/>
      <c r="AQ171" s="135"/>
      <c r="AR171" s="4"/>
      <c r="AS171" s="4"/>
      <c r="AT171" s="4"/>
      <c r="AU171" s="4"/>
      <c r="AV171" s="4"/>
      <c r="AW171" s="4"/>
      <c r="AX171" s="4"/>
      <c r="AY171" s="4"/>
      <c r="AZ171" s="4"/>
      <c r="BA171" s="4"/>
      <c r="BB171" s="4"/>
      <c r="BC171" s="135"/>
      <c r="BD171" s="4"/>
      <c r="BE171" s="4"/>
      <c r="BF171" s="4"/>
      <c r="BG171" s="4"/>
      <c r="BH171" s="4"/>
      <c r="BI171" s="4"/>
      <c r="BJ171" s="4"/>
      <c r="BK171" s="4"/>
      <c r="BL171" s="4"/>
      <c r="BM171" s="4"/>
      <c r="BN171" s="4"/>
      <c r="BO171" s="135"/>
      <c r="BP171" s="135"/>
      <c r="BQ171" s="135"/>
      <c r="BR171" s="4"/>
      <c r="BS171" s="4"/>
      <c r="BT171" s="118"/>
      <c r="BU171" s="4"/>
      <c r="BV171" s="4"/>
      <c r="BW171" s="4"/>
      <c r="BX171" s="4"/>
      <c r="BY171" s="4"/>
      <c r="BZ171" s="4"/>
      <c r="CA171" s="118"/>
      <c r="CB171" s="4"/>
      <c r="CC171" s="4"/>
      <c r="CD171" s="4"/>
      <c r="CE171" s="135"/>
      <c r="CF171" s="135"/>
      <c r="CG171" s="135"/>
      <c r="CH171" s="135"/>
      <c r="CI171" s="135"/>
      <c r="CJ171" s="135"/>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118"/>
      <c r="DU171" s="4"/>
      <c r="DV171" s="4"/>
      <c r="DW171" s="4"/>
      <c r="DX171" s="4"/>
      <c r="DY171" s="4"/>
      <c r="DZ171" s="4"/>
      <c r="EA171" s="4"/>
      <c r="EB171" s="4"/>
      <c r="EC171" s="4"/>
    </row>
    <row r="172" spans="1:133" s="1" customFormat="1" ht="30" customHeight="1" thickBot="1" x14ac:dyDescent="0.35">
      <c r="A172" s="7"/>
      <c r="B172" s="83" t="s">
        <v>107</v>
      </c>
      <c r="C172" s="84" t="s">
        <v>246</v>
      </c>
      <c r="D172" s="85"/>
      <c r="E172" s="86">
        <v>46394</v>
      </c>
      <c r="F172" s="86">
        <v>46394</v>
      </c>
      <c r="G172" s="31">
        <f t="shared" si="56"/>
        <v>1</v>
      </c>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118"/>
      <c r="AM172" s="4"/>
      <c r="AN172" s="4"/>
      <c r="AO172" s="4"/>
      <c r="AP172" s="4"/>
      <c r="AQ172" s="135"/>
      <c r="AR172" s="4"/>
      <c r="AS172" s="4"/>
      <c r="AT172" s="4"/>
      <c r="AU172" s="4"/>
      <c r="AV172" s="4"/>
      <c r="AW172" s="4"/>
      <c r="AX172" s="4"/>
      <c r="AY172" s="4"/>
      <c r="AZ172" s="4"/>
      <c r="BA172" s="4"/>
      <c r="BB172" s="4"/>
      <c r="BC172" s="135"/>
      <c r="BD172" s="4"/>
      <c r="BE172" s="4"/>
      <c r="BF172" s="4"/>
      <c r="BG172" s="4"/>
      <c r="BH172" s="4"/>
      <c r="BI172" s="4"/>
      <c r="BJ172" s="4"/>
      <c r="BK172" s="4"/>
      <c r="BL172" s="4"/>
      <c r="BM172" s="4"/>
      <c r="BN172" s="4"/>
      <c r="BO172" s="135"/>
      <c r="BP172" s="135"/>
      <c r="BQ172" s="135"/>
      <c r="BR172" s="4"/>
      <c r="BS172" s="4"/>
      <c r="BT172" s="118"/>
      <c r="BU172" s="4"/>
      <c r="BV172" s="4"/>
      <c r="BW172" s="4"/>
      <c r="BX172" s="4"/>
      <c r="BY172" s="4"/>
      <c r="BZ172" s="4"/>
      <c r="CA172" s="118"/>
      <c r="CB172" s="4"/>
      <c r="CC172" s="4"/>
      <c r="CD172" s="4"/>
      <c r="CE172" s="135"/>
      <c r="CF172" s="135"/>
      <c r="CG172" s="135"/>
      <c r="CH172" s="135"/>
      <c r="CI172" s="135"/>
      <c r="CJ172" s="135"/>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118"/>
      <c r="DU172" s="4"/>
      <c r="DV172" s="4"/>
      <c r="DW172" s="4"/>
      <c r="DX172" s="4"/>
      <c r="DY172" s="4"/>
      <c r="DZ172" s="4"/>
      <c r="EA172" s="4"/>
      <c r="EB172" s="4"/>
      <c r="EC172" s="4"/>
    </row>
    <row r="173" spans="1:133" s="1" customFormat="1" ht="30" customHeight="1" thickBot="1" x14ac:dyDescent="0.35">
      <c r="A173" s="7"/>
      <c r="B173" s="83" t="s">
        <v>110</v>
      </c>
      <c r="C173" s="84" t="s">
        <v>246</v>
      </c>
      <c r="D173" s="85"/>
      <c r="E173" s="86">
        <v>46394</v>
      </c>
      <c r="F173" s="86">
        <v>46394</v>
      </c>
      <c r="G173" s="31">
        <f t="shared" si="56"/>
        <v>1</v>
      </c>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118"/>
      <c r="AM173" s="4"/>
      <c r="AN173" s="4"/>
      <c r="AO173" s="4"/>
      <c r="AP173" s="4"/>
      <c r="AQ173" s="135"/>
      <c r="AR173" s="4"/>
      <c r="AS173" s="4"/>
      <c r="AT173" s="4"/>
      <c r="AU173" s="4"/>
      <c r="AV173" s="4"/>
      <c r="AW173" s="4"/>
      <c r="AX173" s="4"/>
      <c r="AY173" s="4"/>
      <c r="AZ173" s="4"/>
      <c r="BA173" s="4"/>
      <c r="BB173" s="4"/>
      <c r="BC173" s="135"/>
      <c r="BD173" s="4"/>
      <c r="BE173" s="4"/>
      <c r="BF173" s="4"/>
      <c r="BG173" s="4"/>
      <c r="BH173" s="4"/>
      <c r="BI173" s="4"/>
      <c r="BJ173" s="4"/>
      <c r="BK173" s="4"/>
      <c r="BL173" s="4"/>
      <c r="BM173" s="4"/>
      <c r="BN173" s="4"/>
      <c r="BO173" s="135"/>
      <c r="BP173" s="135"/>
      <c r="BQ173" s="135"/>
      <c r="BR173" s="4"/>
      <c r="BS173" s="4"/>
      <c r="BT173" s="118"/>
      <c r="BU173" s="4"/>
      <c r="BV173" s="4"/>
      <c r="BW173" s="4"/>
      <c r="BX173" s="4"/>
      <c r="BY173" s="4"/>
      <c r="BZ173" s="4"/>
      <c r="CA173" s="118"/>
      <c r="CB173" s="4"/>
      <c r="CC173" s="4"/>
      <c r="CD173" s="4"/>
      <c r="CE173" s="135"/>
      <c r="CF173" s="135"/>
      <c r="CG173" s="135"/>
      <c r="CH173" s="135"/>
      <c r="CI173" s="135"/>
      <c r="CJ173" s="135"/>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118"/>
      <c r="DU173" s="4"/>
      <c r="DV173" s="4"/>
      <c r="DW173" s="4"/>
      <c r="DX173" s="4"/>
      <c r="DY173" s="4"/>
      <c r="DZ173" s="4"/>
      <c r="EA173" s="4"/>
      <c r="EB173" s="4"/>
      <c r="EC173" s="4"/>
    </row>
    <row r="174" spans="1:133" s="1" customFormat="1" ht="30" customHeight="1" thickBot="1" x14ac:dyDescent="0.35">
      <c r="A174" s="7"/>
      <c r="B174" s="83" t="s">
        <v>145</v>
      </c>
      <c r="C174" s="84" t="s">
        <v>246</v>
      </c>
      <c r="D174" s="85"/>
      <c r="E174" s="86">
        <v>46394</v>
      </c>
      <c r="F174" s="86">
        <v>46394</v>
      </c>
      <c r="G174" s="31">
        <f t="shared" si="56"/>
        <v>1</v>
      </c>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118"/>
      <c r="AM174" s="4"/>
      <c r="AN174" s="4"/>
      <c r="AO174" s="4"/>
      <c r="AP174" s="4"/>
      <c r="AQ174" s="135"/>
      <c r="AR174" s="4"/>
      <c r="AS174" s="4"/>
      <c r="AT174" s="4"/>
      <c r="AU174" s="4"/>
      <c r="AV174" s="4"/>
      <c r="AW174" s="4"/>
      <c r="AX174" s="4"/>
      <c r="AY174" s="4"/>
      <c r="AZ174" s="4"/>
      <c r="BA174" s="4"/>
      <c r="BB174" s="4"/>
      <c r="BC174" s="135"/>
      <c r="BD174" s="4"/>
      <c r="BE174" s="4"/>
      <c r="BF174" s="4"/>
      <c r="BG174" s="4"/>
      <c r="BH174" s="4"/>
      <c r="BI174" s="4"/>
      <c r="BJ174" s="4"/>
      <c r="BK174" s="4"/>
      <c r="BL174" s="4"/>
      <c r="BM174" s="4"/>
      <c r="BN174" s="4"/>
      <c r="BO174" s="135"/>
      <c r="BP174" s="135"/>
      <c r="BQ174" s="135"/>
      <c r="BR174" s="4"/>
      <c r="BS174" s="4"/>
      <c r="BT174" s="118"/>
      <c r="BU174" s="4"/>
      <c r="BV174" s="4"/>
      <c r="BW174" s="4"/>
      <c r="BX174" s="4"/>
      <c r="BY174" s="4"/>
      <c r="BZ174" s="4"/>
      <c r="CA174" s="118"/>
      <c r="CB174" s="4"/>
      <c r="CC174" s="4"/>
      <c r="CD174" s="4"/>
      <c r="CE174" s="135"/>
      <c r="CF174" s="135"/>
      <c r="CG174" s="135"/>
      <c r="CH174" s="135"/>
      <c r="CI174" s="135"/>
      <c r="CJ174" s="135"/>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118"/>
      <c r="DU174" s="4"/>
      <c r="DV174" s="4"/>
      <c r="DW174" s="4"/>
      <c r="DX174" s="4"/>
      <c r="DY174" s="4"/>
      <c r="DZ174" s="4"/>
      <c r="EA174" s="4"/>
      <c r="EB174" s="4"/>
      <c r="EC174" s="4"/>
    </row>
    <row r="175" spans="1:133" s="1" customFormat="1" ht="30" customHeight="1" thickBot="1" x14ac:dyDescent="0.35">
      <c r="A175" s="7"/>
      <c r="B175" s="83" t="s">
        <v>120</v>
      </c>
      <c r="C175" s="84" t="s">
        <v>246</v>
      </c>
      <c r="D175" s="85"/>
      <c r="E175" s="86">
        <v>46394</v>
      </c>
      <c r="F175" s="86">
        <v>46394</v>
      </c>
      <c r="G175" s="31">
        <f t="shared" si="56"/>
        <v>1</v>
      </c>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118"/>
      <c r="AM175" s="4"/>
      <c r="AN175" s="4"/>
      <c r="AO175" s="4"/>
      <c r="AP175" s="4"/>
      <c r="AQ175" s="135"/>
      <c r="AR175" s="4"/>
      <c r="AS175" s="4"/>
      <c r="AT175" s="4"/>
      <c r="AU175" s="4"/>
      <c r="AV175" s="4"/>
      <c r="AW175" s="4"/>
      <c r="AX175" s="4"/>
      <c r="AY175" s="4"/>
      <c r="AZ175" s="4"/>
      <c r="BA175" s="4"/>
      <c r="BB175" s="4"/>
      <c r="BC175" s="135"/>
      <c r="BD175" s="4"/>
      <c r="BE175" s="4"/>
      <c r="BF175" s="4"/>
      <c r="BG175" s="4"/>
      <c r="BH175" s="4"/>
      <c r="BI175" s="4"/>
      <c r="BJ175" s="4"/>
      <c r="BK175" s="4"/>
      <c r="BL175" s="4"/>
      <c r="BM175" s="4"/>
      <c r="BN175" s="4"/>
      <c r="BO175" s="135"/>
      <c r="BP175" s="135"/>
      <c r="BQ175" s="135"/>
      <c r="BR175" s="4"/>
      <c r="BS175" s="4"/>
      <c r="BT175" s="118"/>
      <c r="BU175" s="4"/>
      <c r="BV175" s="4"/>
      <c r="BW175" s="4"/>
      <c r="BX175" s="4"/>
      <c r="BY175" s="4"/>
      <c r="BZ175" s="4"/>
      <c r="CA175" s="118"/>
      <c r="CB175" s="4"/>
      <c r="CC175" s="4"/>
      <c r="CD175" s="4"/>
      <c r="CE175" s="135"/>
      <c r="CF175" s="135"/>
      <c r="CG175" s="135"/>
      <c r="CH175" s="135"/>
      <c r="CI175" s="135"/>
      <c r="CJ175" s="135"/>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118"/>
      <c r="DU175" s="4"/>
      <c r="DV175" s="4"/>
      <c r="DW175" s="4"/>
      <c r="DX175" s="4"/>
      <c r="DY175" s="4"/>
      <c r="DZ175" s="4"/>
      <c r="EA175" s="4"/>
      <c r="EB175" s="4"/>
      <c r="EC175" s="4"/>
    </row>
    <row r="176" spans="1:133" s="1" customFormat="1" ht="30" customHeight="1" thickBot="1" x14ac:dyDescent="0.35">
      <c r="A176" s="7"/>
      <c r="B176" s="83" t="s">
        <v>119</v>
      </c>
      <c r="C176" s="84" t="s">
        <v>246</v>
      </c>
      <c r="D176" s="85"/>
      <c r="E176" s="86">
        <v>46394</v>
      </c>
      <c r="F176" s="86">
        <v>46394</v>
      </c>
      <c r="G176" s="31">
        <f t="shared" si="56"/>
        <v>1</v>
      </c>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118"/>
      <c r="AM176" s="4"/>
      <c r="AN176" s="4"/>
      <c r="AO176" s="4"/>
      <c r="AP176" s="4"/>
      <c r="AQ176" s="135"/>
      <c r="AR176" s="4"/>
      <c r="AS176" s="4"/>
      <c r="AT176" s="4"/>
      <c r="AU176" s="4"/>
      <c r="AV176" s="4"/>
      <c r="AW176" s="4"/>
      <c r="AX176" s="4"/>
      <c r="AY176" s="4"/>
      <c r="AZ176" s="4"/>
      <c r="BA176" s="4"/>
      <c r="BB176" s="4"/>
      <c r="BC176" s="135"/>
      <c r="BD176" s="4"/>
      <c r="BE176" s="4"/>
      <c r="BF176" s="4"/>
      <c r="BG176" s="4"/>
      <c r="BH176" s="4"/>
      <c r="BI176" s="4"/>
      <c r="BJ176" s="4"/>
      <c r="BK176" s="4"/>
      <c r="BL176" s="4"/>
      <c r="BM176" s="4"/>
      <c r="BN176" s="4"/>
      <c r="BO176" s="135"/>
      <c r="BP176" s="135"/>
      <c r="BQ176" s="135"/>
      <c r="BR176" s="4"/>
      <c r="BS176" s="4"/>
      <c r="BT176" s="118"/>
      <c r="BU176" s="4"/>
      <c r="BV176" s="4"/>
      <c r="BW176" s="4"/>
      <c r="BX176" s="4"/>
      <c r="BY176" s="4"/>
      <c r="BZ176" s="4"/>
      <c r="CA176" s="118"/>
      <c r="CB176" s="4"/>
      <c r="CC176" s="4"/>
      <c r="CD176" s="4"/>
      <c r="CE176" s="135"/>
      <c r="CF176" s="135"/>
      <c r="CG176" s="135"/>
      <c r="CH176" s="135"/>
      <c r="CI176" s="135"/>
      <c r="CJ176" s="135"/>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118"/>
      <c r="DU176" s="4"/>
      <c r="DV176" s="4"/>
      <c r="DW176" s="4"/>
      <c r="DX176" s="4"/>
      <c r="DY176" s="4"/>
      <c r="DZ176" s="4"/>
      <c r="EA176" s="4"/>
      <c r="EB176" s="4"/>
      <c r="EC176" s="4"/>
    </row>
    <row r="177" spans="1:133" s="1" customFormat="1" ht="30" customHeight="1" thickBot="1" x14ac:dyDescent="0.35">
      <c r="A177" s="7"/>
      <c r="B177" s="83" t="s">
        <v>146</v>
      </c>
      <c r="C177" s="84" t="s">
        <v>246</v>
      </c>
      <c r="D177" s="85"/>
      <c r="E177" s="86">
        <v>46394</v>
      </c>
      <c r="F177" s="86">
        <v>46394</v>
      </c>
      <c r="G177" s="31">
        <f t="shared" si="56"/>
        <v>1</v>
      </c>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118"/>
      <c r="AM177" s="4"/>
      <c r="AN177" s="4"/>
      <c r="AO177" s="4"/>
      <c r="AP177" s="4"/>
      <c r="AQ177" s="135"/>
      <c r="AR177" s="4"/>
      <c r="AS177" s="4"/>
      <c r="AT177" s="4"/>
      <c r="AU177" s="4"/>
      <c r="AV177" s="4"/>
      <c r="AW177" s="4"/>
      <c r="AX177" s="4"/>
      <c r="AY177" s="4"/>
      <c r="AZ177" s="4"/>
      <c r="BA177" s="4"/>
      <c r="BB177" s="4"/>
      <c r="BC177" s="135"/>
      <c r="BD177" s="4"/>
      <c r="BE177" s="4"/>
      <c r="BF177" s="4"/>
      <c r="BG177" s="4"/>
      <c r="BH177" s="4"/>
      <c r="BI177" s="4"/>
      <c r="BJ177" s="4"/>
      <c r="BK177" s="4"/>
      <c r="BL177" s="4"/>
      <c r="BM177" s="4"/>
      <c r="BN177" s="4"/>
      <c r="BO177" s="135"/>
      <c r="BP177" s="135"/>
      <c r="BQ177" s="135"/>
      <c r="BR177" s="4"/>
      <c r="BS177" s="4"/>
      <c r="BT177" s="118"/>
      <c r="BU177" s="4"/>
      <c r="BV177" s="4"/>
      <c r="BW177" s="4"/>
      <c r="BX177" s="4"/>
      <c r="BY177" s="4"/>
      <c r="BZ177" s="4"/>
      <c r="CA177" s="118"/>
      <c r="CB177" s="4"/>
      <c r="CC177" s="4"/>
      <c r="CD177" s="4"/>
      <c r="CE177" s="135"/>
      <c r="CF177" s="135"/>
      <c r="CG177" s="135"/>
      <c r="CH177" s="135"/>
      <c r="CI177" s="135"/>
      <c r="CJ177" s="135"/>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118"/>
      <c r="DU177" s="4"/>
      <c r="DV177" s="4"/>
      <c r="DW177" s="4"/>
      <c r="DX177" s="4"/>
      <c r="DY177" s="4"/>
      <c r="DZ177" s="4"/>
      <c r="EA177" s="4"/>
      <c r="EB177" s="4"/>
      <c r="EC177" s="4"/>
    </row>
    <row r="178" spans="1:133" s="1" customFormat="1" ht="30" customHeight="1" thickBot="1" x14ac:dyDescent="0.35">
      <c r="A178" s="7" t="s">
        <v>11</v>
      </c>
      <c r="B178" s="78" t="s">
        <v>135</v>
      </c>
      <c r="C178" s="79"/>
      <c r="D178" s="80"/>
      <c r="E178" s="81"/>
      <c r="F178" s="82"/>
      <c r="G178" s="31" t="str">
        <f t="shared" si="56"/>
        <v/>
      </c>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118"/>
      <c r="AM178" s="4"/>
      <c r="AN178" s="4"/>
      <c r="AO178" s="4"/>
      <c r="AP178" s="4"/>
      <c r="AQ178" s="135"/>
      <c r="AR178" s="4"/>
      <c r="AS178" s="4"/>
      <c r="AT178" s="4"/>
      <c r="AU178" s="4"/>
      <c r="AV178" s="4"/>
      <c r="AW178" s="4"/>
      <c r="AX178" s="4"/>
      <c r="AY178" s="4"/>
      <c r="AZ178" s="4"/>
      <c r="BA178" s="4"/>
      <c r="BB178" s="4"/>
      <c r="BC178" s="135"/>
      <c r="BD178" s="4"/>
      <c r="BE178" s="4"/>
      <c r="BF178" s="4"/>
      <c r="BG178" s="4"/>
      <c r="BH178" s="4"/>
      <c r="BI178" s="4"/>
      <c r="BJ178" s="4"/>
      <c r="BK178" s="4"/>
      <c r="BL178" s="4"/>
      <c r="BM178" s="4"/>
      <c r="BN178" s="4"/>
      <c r="BO178" s="135"/>
      <c r="BP178" s="135"/>
      <c r="BQ178" s="135"/>
      <c r="BR178" s="4"/>
      <c r="BS178" s="4"/>
      <c r="BT178" s="118"/>
      <c r="BU178" s="4"/>
      <c r="BV178" s="4"/>
      <c r="BW178" s="4"/>
      <c r="BX178" s="4"/>
      <c r="BY178" s="4"/>
      <c r="BZ178" s="4"/>
      <c r="CA178" s="118"/>
      <c r="CB178" s="4"/>
      <c r="CC178" s="4"/>
      <c r="CD178" s="4"/>
      <c r="CE178" s="135"/>
      <c r="CF178" s="135"/>
      <c r="CG178" s="135"/>
      <c r="CH178" s="135"/>
      <c r="CI178" s="135"/>
      <c r="CJ178" s="135"/>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118"/>
      <c r="DU178" s="4"/>
      <c r="DV178" s="4"/>
      <c r="DW178" s="4"/>
      <c r="DX178" s="4"/>
      <c r="DY178" s="4"/>
      <c r="DZ178" s="4"/>
      <c r="EA178" s="4"/>
      <c r="EB178" s="4"/>
      <c r="EC178" s="4"/>
    </row>
    <row r="179" spans="1:133" s="1" customFormat="1" ht="30" customHeight="1" thickBot="1" x14ac:dyDescent="0.35">
      <c r="A179" s="7"/>
      <c r="B179" s="83" t="s">
        <v>96</v>
      </c>
      <c r="C179" s="84" t="s">
        <v>246</v>
      </c>
      <c r="D179" s="85"/>
      <c r="E179" s="86">
        <v>46395</v>
      </c>
      <c r="F179" s="86">
        <v>46395</v>
      </c>
      <c r="G179" s="31">
        <f t="shared" si="56"/>
        <v>1</v>
      </c>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118"/>
      <c r="AM179" s="4"/>
      <c r="AN179" s="4"/>
      <c r="AO179" s="4"/>
      <c r="AP179" s="4"/>
      <c r="AQ179" s="135"/>
      <c r="AR179" s="4"/>
      <c r="AS179" s="4"/>
      <c r="AT179" s="4"/>
      <c r="AU179" s="4"/>
      <c r="AV179" s="4"/>
      <c r="AW179" s="4"/>
      <c r="AX179" s="4"/>
      <c r="AY179" s="4"/>
      <c r="AZ179" s="4"/>
      <c r="BA179" s="4"/>
      <c r="BB179" s="4"/>
      <c r="BC179" s="135"/>
      <c r="BD179" s="4"/>
      <c r="BE179" s="4"/>
      <c r="BF179" s="4"/>
      <c r="BG179" s="4"/>
      <c r="BH179" s="4"/>
      <c r="BI179" s="4"/>
      <c r="BJ179" s="4"/>
      <c r="BK179" s="4"/>
      <c r="BL179" s="4"/>
      <c r="BM179" s="4"/>
      <c r="BN179" s="4"/>
      <c r="BO179" s="135"/>
      <c r="BP179" s="135"/>
      <c r="BQ179" s="135"/>
      <c r="BR179" s="4"/>
      <c r="BS179" s="4"/>
      <c r="BT179" s="118"/>
      <c r="BU179" s="4"/>
      <c r="BV179" s="4"/>
      <c r="BW179" s="4"/>
      <c r="BX179" s="4"/>
      <c r="BY179" s="4"/>
      <c r="BZ179" s="4"/>
      <c r="CA179" s="118"/>
      <c r="CB179" s="4"/>
      <c r="CC179" s="4"/>
      <c r="CD179" s="4"/>
      <c r="CE179" s="135"/>
      <c r="CF179" s="135"/>
      <c r="CG179" s="135"/>
      <c r="CH179" s="135"/>
      <c r="CI179" s="135"/>
      <c r="CJ179" s="135"/>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118"/>
      <c r="DU179" s="4"/>
      <c r="DV179" s="4"/>
      <c r="DW179" s="4"/>
      <c r="DX179" s="4"/>
      <c r="DY179" s="4"/>
      <c r="DZ179" s="4"/>
      <c r="EA179" s="4"/>
      <c r="EB179" s="4"/>
      <c r="EC179" s="4"/>
    </row>
    <row r="180" spans="1:133" s="1" customFormat="1" ht="30" customHeight="1" thickBot="1" x14ac:dyDescent="0.35">
      <c r="A180" s="7"/>
      <c r="B180" s="83" t="s">
        <v>97</v>
      </c>
      <c r="C180" s="84" t="s">
        <v>246</v>
      </c>
      <c r="D180" s="85"/>
      <c r="E180" s="86">
        <v>46395</v>
      </c>
      <c r="F180" s="86">
        <v>46395</v>
      </c>
      <c r="G180" s="31">
        <f t="shared" si="56"/>
        <v>1</v>
      </c>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118"/>
      <c r="AM180" s="4"/>
      <c r="AN180" s="4"/>
      <c r="AO180" s="4"/>
      <c r="AP180" s="4"/>
      <c r="AQ180" s="135"/>
      <c r="AR180" s="4"/>
      <c r="AS180" s="4"/>
      <c r="AT180" s="4"/>
      <c r="AU180" s="4"/>
      <c r="AV180" s="4"/>
      <c r="AW180" s="4"/>
      <c r="AX180" s="4"/>
      <c r="AY180" s="4"/>
      <c r="AZ180" s="4"/>
      <c r="BA180" s="4"/>
      <c r="BB180" s="4"/>
      <c r="BC180" s="135"/>
      <c r="BD180" s="4"/>
      <c r="BE180" s="4"/>
      <c r="BF180" s="4"/>
      <c r="BG180" s="4"/>
      <c r="BH180" s="4"/>
      <c r="BI180" s="4"/>
      <c r="BJ180" s="4"/>
      <c r="BK180" s="4"/>
      <c r="BL180" s="4"/>
      <c r="BM180" s="4"/>
      <c r="BN180" s="4"/>
      <c r="BO180" s="135"/>
      <c r="BP180" s="135"/>
      <c r="BQ180" s="135"/>
      <c r="BR180" s="4"/>
      <c r="BS180" s="4"/>
      <c r="BT180" s="118"/>
      <c r="BU180" s="4"/>
      <c r="BV180" s="4"/>
      <c r="BW180" s="4"/>
      <c r="BX180" s="4"/>
      <c r="BY180" s="4"/>
      <c r="BZ180" s="4"/>
      <c r="CA180" s="118"/>
      <c r="CB180" s="4"/>
      <c r="CC180" s="4"/>
      <c r="CD180" s="4"/>
      <c r="CE180" s="135"/>
      <c r="CF180" s="135"/>
      <c r="CG180" s="135"/>
      <c r="CH180" s="135"/>
      <c r="CI180" s="135"/>
      <c r="CJ180" s="135"/>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118"/>
      <c r="DU180" s="4"/>
      <c r="DV180" s="4"/>
      <c r="DW180" s="4"/>
      <c r="DX180" s="4"/>
      <c r="DY180" s="4"/>
      <c r="DZ180" s="4"/>
      <c r="EA180" s="4"/>
      <c r="EB180" s="4"/>
      <c r="EC180" s="4"/>
    </row>
    <row r="181" spans="1:133" s="1" customFormat="1" ht="30" customHeight="1" thickBot="1" x14ac:dyDescent="0.35">
      <c r="A181" s="7"/>
      <c r="B181" s="83" t="s">
        <v>147</v>
      </c>
      <c r="C181" s="84" t="s">
        <v>246</v>
      </c>
      <c r="D181" s="85"/>
      <c r="E181" s="86">
        <v>46395</v>
      </c>
      <c r="F181" s="86">
        <v>46395</v>
      </c>
      <c r="G181" s="31">
        <v>1</v>
      </c>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118"/>
      <c r="AM181" s="4"/>
      <c r="AN181" s="4"/>
      <c r="AO181" s="4"/>
      <c r="AP181" s="4"/>
      <c r="AQ181" s="135"/>
      <c r="AR181" s="4"/>
      <c r="AS181" s="4"/>
      <c r="AT181" s="4"/>
      <c r="AU181" s="4"/>
      <c r="AV181" s="4"/>
      <c r="AW181" s="4"/>
      <c r="AX181" s="4"/>
      <c r="AY181" s="4"/>
      <c r="AZ181" s="4"/>
      <c r="BA181" s="4"/>
      <c r="BB181" s="4"/>
      <c r="BC181" s="135"/>
      <c r="BD181" s="4"/>
      <c r="BE181" s="4"/>
      <c r="BF181" s="4"/>
      <c r="BG181" s="4"/>
      <c r="BH181" s="4"/>
      <c r="BI181" s="4"/>
      <c r="BJ181" s="4"/>
      <c r="BK181" s="4"/>
      <c r="BL181" s="4"/>
      <c r="BM181" s="4"/>
      <c r="BN181" s="4"/>
      <c r="BO181" s="135"/>
      <c r="BP181" s="135"/>
      <c r="BQ181" s="135"/>
      <c r="BR181" s="4"/>
      <c r="BS181" s="4"/>
      <c r="BT181" s="118"/>
      <c r="BU181" s="4"/>
      <c r="BV181" s="4"/>
      <c r="BW181" s="4"/>
      <c r="BX181" s="4"/>
      <c r="BY181" s="4"/>
      <c r="BZ181" s="4"/>
      <c r="CA181" s="118"/>
      <c r="CB181" s="4"/>
      <c r="CC181" s="4"/>
      <c r="CD181" s="4"/>
      <c r="CE181" s="135"/>
      <c r="CF181" s="135"/>
      <c r="CG181" s="135"/>
      <c r="CH181" s="135"/>
      <c r="CI181" s="135"/>
      <c r="CJ181" s="135"/>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118"/>
      <c r="DU181" s="4"/>
      <c r="DV181" s="4"/>
      <c r="DW181" s="4"/>
      <c r="DX181" s="4"/>
      <c r="DY181" s="4"/>
      <c r="DZ181" s="4"/>
      <c r="EA181" s="4"/>
      <c r="EB181" s="4"/>
      <c r="EC181" s="4"/>
    </row>
    <row r="182" spans="1:133" s="1" customFormat="1" ht="30" customHeight="1" thickBot="1" x14ac:dyDescent="0.35">
      <c r="A182" s="7"/>
      <c r="B182" s="83" t="s">
        <v>98</v>
      </c>
      <c r="C182" s="84" t="s">
        <v>246</v>
      </c>
      <c r="D182" s="85"/>
      <c r="E182" s="86">
        <v>46395</v>
      </c>
      <c r="F182" s="86">
        <v>46395</v>
      </c>
      <c r="G182" s="31">
        <f t="shared" si="56"/>
        <v>1</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118"/>
      <c r="AM182" s="4"/>
      <c r="AN182" s="4"/>
      <c r="AO182" s="4"/>
      <c r="AP182" s="4"/>
      <c r="AQ182" s="135"/>
      <c r="AR182" s="4"/>
      <c r="AS182" s="4"/>
      <c r="AT182" s="4"/>
      <c r="AU182" s="4"/>
      <c r="AV182" s="4"/>
      <c r="AW182" s="4"/>
      <c r="AX182" s="4"/>
      <c r="AY182" s="4"/>
      <c r="AZ182" s="4"/>
      <c r="BA182" s="4"/>
      <c r="BB182" s="4"/>
      <c r="BC182" s="135"/>
      <c r="BD182" s="4"/>
      <c r="BE182" s="4"/>
      <c r="BF182" s="4"/>
      <c r="BG182" s="4"/>
      <c r="BH182" s="4"/>
      <c r="BI182" s="4"/>
      <c r="BJ182" s="4"/>
      <c r="BK182" s="4"/>
      <c r="BL182" s="4"/>
      <c r="BM182" s="4"/>
      <c r="BN182" s="4"/>
      <c r="BO182" s="135"/>
      <c r="BP182" s="135"/>
      <c r="BQ182" s="135"/>
      <c r="BR182" s="4"/>
      <c r="BS182" s="4"/>
      <c r="BT182" s="118"/>
      <c r="BU182" s="4"/>
      <c r="BV182" s="4"/>
      <c r="BW182" s="4"/>
      <c r="BX182" s="4"/>
      <c r="BY182" s="4"/>
      <c r="BZ182" s="4"/>
      <c r="CA182" s="118"/>
      <c r="CB182" s="4"/>
      <c r="CC182" s="4"/>
      <c r="CD182" s="4"/>
      <c r="CE182" s="135"/>
      <c r="CF182" s="135"/>
      <c r="CG182" s="135"/>
      <c r="CH182" s="135"/>
      <c r="CI182" s="135"/>
      <c r="CJ182" s="135"/>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118"/>
      <c r="DU182" s="4"/>
      <c r="DV182" s="4"/>
      <c r="DW182" s="4"/>
      <c r="DX182" s="4"/>
      <c r="DY182" s="4"/>
      <c r="DZ182" s="4"/>
      <c r="EA182" s="4"/>
      <c r="EB182" s="4"/>
      <c r="EC182" s="4"/>
    </row>
    <row r="183" spans="1:133" s="1" customFormat="1" ht="30" customHeight="1" thickBot="1" x14ac:dyDescent="0.35">
      <c r="A183" s="7"/>
      <c r="B183" s="83" t="s">
        <v>100</v>
      </c>
      <c r="C183" s="84" t="s">
        <v>246</v>
      </c>
      <c r="D183" s="85"/>
      <c r="E183" s="86">
        <v>46395</v>
      </c>
      <c r="F183" s="86">
        <v>46395</v>
      </c>
      <c r="G183" s="31">
        <f t="shared" si="56"/>
        <v>1</v>
      </c>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118"/>
      <c r="AM183" s="4"/>
      <c r="AN183" s="4"/>
      <c r="AO183" s="4"/>
      <c r="AP183" s="4"/>
      <c r="AQ183" s="135"/>
      <c r="AR183" s="4"/>
      <c r="AS183" s="4"/>
      <c r="AT183" s="4"/>
      <c r="AU183" s="4"/>
      <c r="AV183" s="4"/>
      <c r="AW183" s="4"/>
      <c r="AX183" s="4"/>
      <c r="AY183" s="4"/>
      <c r="AZ183" s="4"/>
      <c r="BA183" s="4"/>
      <c r="BB183" s="4"/>
      <c r="BC183" s="135"/>
      <c r="BD183" s="4"/>
      <c r="BE183" s="4"/>
      <c r="BF183" s="4"/>
      <c r="BG183" s="4"/>
      <c r="BH183" s="4"/>
      <c r="BI183" s="4"/>
      <c r="BJ183" s="4"/>
      <c r="BK183" s="4"/>
      <c r="BL183" s="4"/>
      <c r="BM183" s="4"/>
      <c r="BN183" s="4"/>
      <c r="BO183" s="135"/>
      <c r="BP183" s="135"/>
      <c r="BQ183" s="135"/>
      <c r="BR183" s="4"/>
      <c r="BS183" s="4"/>
      <c r="BT183" s="118"/>
      <c r="BU183" s="4"/>
      <c r="BV183" s="4"/>
      <c r="BW183" s="4"/>
      <c r="BX183" s="4"/>
      <c r="BY183" s="4"/>
      <c r="BZ183" s="4"/>
      <c r="CA183" s="118"/>
      <c r="CB183" s="4"/>
      <c r="CC183" s="4"/>
      <c r="CD183" s="4"/>
      <c r="CE183" s="135"/>
      <c r="CF183" s="135"/>
      <c r="CG183" s="135"/>
      <c r="CH183" s="135"/>
      <c r="CI183" s="135"/>
      <c r="CJ183" s="135"/>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118"/>
      <c r="DU183" s="4"/>
      <c r="DV183" s="4"/>
      <c r="DW183" s="4"/>
      <c r="DX183" s="4"/>
      <c r="DY183" s="4"/>
      <c r="DZ183" s="4"/>
      <c r="EA183" s="4"/>
      <c r="EB183" s="4"/>
      <c r="EC183" s="4"/>
    </row>
    <row r="184" spans="1:133" s="1" customFormat="1" ht="30" customHeight="1" thickBot="1" x14ac:dyDescent="0.35">
      <c r="A184" s="7"/>
      <c r="B184" s="83" t="s">
        <v>107</v>
      </c>
      <c r="C184" s="84" t="s">
        <v>246</v>
      </c>
      <c r="D184" s="85"/>
      <c r="E184" s="86">
        <v>46396</v>
      </c>
      <c r="F184" s="86">
        <v>46396</v>
      </c>
      <c r="G184" s="31">
        <f t="shared" si="56"/>
        <v>1</v>
      </c>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118"/>
      <c r="AM184" s="4"/>
      <c r="AN184" s="4"/>
      <c r="AO184" s="4"/>
      <c r="AP184" s="4"/>
      <c r="AQ184" s="135"/>
      <c r="AR184" s="4"/>
      <c r="AS184" s="4"/>
      <c r="AT184" s="4"/>
      <c r="AU184" s="4"/>
      <c r="AV184" s="4"/>
      <c r="AW184" s="4"/>
      <c r="AX184" s="4"/>
      <c r="AY184" s="4"/>
      <c r="AZ184" s="4"/>
      <c r="BA184" s="4"/>
      <c r="BB184" s="4"/>
      <c r="BC184" s="135"/>
      <c r="BD184" s="4"/>
      <c r="BE184" s="4"/>
      <c r="BF184" s="4"/>
      <c r="BG184" s="4"/>
      <c r="BH184" s="4"/>
      <c r="BI184" s="4"/>
      <c r="BJ184" s="4"/>
      <c r="BK184" s="4"/>
      <c r="BL184" s="4"/>
      <c r="BM184" s="4"/>
      <c r="BN184" s="4"/>
      <c r="BO184" s="135"/>
      <c r="BP184" s="135"/>
      <c r="BQ184" s="135"/>
      <c r="BR184" s="4"/>
      <c r="BS184" s="4"/>
      <c r="BT184" s="118"/>
      <c r="BU184" s="4"/>
      <c r="BV184" s="4"/>
      <c r="BW184" s="4"/>
      <c r="BX184" s="4"/>
      <c r="BY184" s="4"/>
      <c r="BZ184" s="4"/>
      <c r="CA184" s="118"/>
      <c r="CB184" s="4"/>
      <c r="CC184" s="4"/>
      <c r="CD184" s="4"/>
      <c r="CE184" s="135"/>
      <c r="CF184" s="135"/>
      <c r="CG184" s="135"/>
      <c r="CH184" s="135"/>
      <c r="CI184" s="135"/>
      <c r="CJ184" s="135"/>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118"/>
      <c r="DU184" s="4"/>
      <c r="DV184" s="4"/>
      <c r="DW184" s="4"/>
      <c r="DX184" s="4"/>
      <c r="DY184" s="4"/>
      <c r="DZ184" s="4"/>
      <c r="EA184" s="4"/>
      <c r="EB184" s="4"/>
      <c r="EC184" s="4"/>
    </row>
    <row r="185" spans="1:133" s="1" customFormat="1" ht="30" customHeight="1" thickBot="1" x14ac:dyDescent="0.35">
      <c r="A185" s="7"/>
      <c r="B185" s="83" t="s">
        <v>110</v>
      </c>
      <c r="C185" s="84" t="s">
        <v>246</v>
      </c>
      <c r="D185" s="85"/>
      <c r="E185" s="86">
        <v>46396</v>
      </c>
      <c r="F185" s="86">
        <v>46396</v>
      </c>
      <c r="G185" s="31">
        <f t="shared" si="56"/>
        <v>1</v>
      </c>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118"/>
      <c r="AM185" s="4"/>
      <c r="AN185" s="4"/>
      <c r="AO185" s="4"/>
      <c r="AP185" s="4"/>
      <c r="AQ185" s="135"/>
      <c r="AR185" s="4"/>
      <c r="AS185" s="4"/>
      <c r="AT185" s="4"/>
      <c r="AU185" s="4"/>
      <c r="AV185" s="4"/>
      <c r="AW185" s="4"/>
      <c r="AX185" s="4"/>
      <c r="AY185" s="4"/>
      <c r="AZ185" s="4"/>
      <c r="BA185" s="4"/>
      <c r="BB185" s="4"/>
      <c r="BC185" s="135"/>
      <c r="BD185" s="4"/>
      <c r="BE185" s="4"/>
      <c r="BF185" s="4"/>
      <c r="BG185" s="4"/>
      <c r="BH185" s="4"/>
      <c r="BI185" s="4"/>
      <c r="BJ185" s="4"/>
      <c r="BK185" s="4"/>
      <c r="BL185" s="4"/>
      <c r="BM185" s="4"/>
      <c r="BN185" s="4"/>
      <c r="BO185" s="135"/>
      <c r="BP185" s="135"/>
      <c r="BQ185" s="135"/>
      <c r="BR185" s="4"/>
      <c r="BS185" s="4"/>
      <c r="BT185" s="118"/>
      <c r="BU185" s="4"/>
      <c r="BV185" s="4"/>
      <c r="BW185" s="4"/>
      <c r="BX185" s="4"/>
      <c r="BY185" s="4"/>
      <c r="BZ185" s="4"/>
      <c r="CA185" s="118"/>
      <c r="CB185" s="4"/>
      <c r="CC185" s="4"/>
      <c r="CD185" s="4"/>
      <c r="CE185" s="135"/>
      <c r="CF185" s="135"/>
      <c r="CG185" s="135"/>
      <c r="CH185" s="135"/>
      <c r="CI185" s="135"/>
      <c r="CJ185" s="135"/>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118"/>
      <c r="DU185" s="4"/>
      <c r="DV185" s="4"/>
      <c r="DW185" s="4"/>
      <c r="DX185" s="4"/>
      <c r="DY185" s="4"/>
      <c r="DZ185" s="4"/>
      <c r="EA185" s="4"/>
      <c r="EB185" s="4"/>
      <c r="EC185" s="4"/>
    </row>
    <row r="186" spans="1:133" s="1" customFormat="1" ht="30" customHeight="1" thickBot="1" x14ac:dyDescent="0.35">
      <c r="A186" s="7"/>
      <c r="B186" s="83" t="s">
        <v>145</v>
      </c>
      <c r="C186" s="84" t="s">
        <v>246</v>
      </c>
      <c r="D186" s="85"/>
      <c r="E186" s="86">
        <v>46396</v>
      </c>
      <c r="F186" s="86">
        <v>46396</v>
      </c>
      <c r="G186" s="31">
        <f t="shared" si="56"/>
        <v>1</v>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118"/>
      <c r="AM186" s="4"/>
      <c r="AN186" s="4"/>
      <c r="AO186" s="4"/>
      <c r="AP186" s="4"/>
      <c r="AQ186" s="135"/>
      <c r="AR186" s="4"/>
      <c r="AS186" s="4"/>
      <c r="AT186" s="4"/>
      <c r="AU186" s="4"/>
      <c r="AV186" s="4"/>
      <c r="AW186" s="4"/>
      <c r="AX186" s="4"/>
      <c r="AY186" s="4"/>
      <c r="AZ186" s="4"/>
      <c r="BA186" s="4"/>
      <c r="BB186" s="4"/>
      <c r="BC186" s="135"/>
      <c r="BD186" s="4"/>
      <c r="BE186" s="4"/>
      <c r="BF186" s="4"/>
      <c r="BG186" s="4"/>
      <c r="BH186" s="4"/>
      <c r="BI186" s="4"/>
      <c r="BJ186" s="4"/>
      <c r="BK186" s="4"/>
      <c r="BL186" s="4"/>
      <c r="BM186" s="4"/>
      <c r="BN186" s="4"/>
      <c r="BO186" s="135"/>
      <c r="BP186" s="135"/>
      <c r="BQ186" s="135"/>
      <c r="BR186" s="4"/>
      <c r="BS186" s="4"/>
      <c r="BT186" s="118"/>
      <c r="BU186" s="4"/>
      <c r="BV186" s="4"/>
      <c r="BW186" s="4"/>
      <c r="BX186" s="4"/>
      <c r="BY186" s="4"/>
      <c r="BZ186" s="4"/>
      <c r="CA186" s="118"/>
      <c r="CB186" s="4"/>
      <c r="CC186" s="4"/>
      <c r="CD186" s="4"/>
      <c r="CE186" s="135"/>
      <c r="CF186" s="135"/>
      <c r="CG186" s="135"/>
      <c r="CH186" s="135"/>
      <c r="CI186" s="135"/>
      <c r="CJ186" s="135"/>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118"/>
      <c r="DU186" s="4"/>
      <c r="DV186" s="4"/>
      <c r="DW186" s="4"/>
      <c r="DX186" s="4"/>
      <c r="DY186" s="4"/>
      <c r="DZ186" s="4"/>
      <c r="EA186" s="4"/>
      <c r="EB186" s="4"/>
      <c r="EC186" s="4"/>
    </row>
    <row r="187" spans="1:133" s="1" customFormat="1" ht="30" customHeight="1" thickBot="1" x14ac:dyDescent="0.35">
      <c r="A187" s="7"/>
      <c r="B187" s="83" t="s">
        <v>120</v>
      </c>
      <c r="C187" s="84" t="s">
        <v>246</v>
      </c>
      <c r="D187" s="85"/>
      <c r="E187" s="86">
        <v>46396</v>
      </c>
      <c r="F187" s="86">
        <v>46396</v>
      </c>
      <c r="G187" s="31">
        <f t="shared" si="56"/>
        <v>1</v>
      </c>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118"/>
      <c r="AM187" s="4"/>
      <c r="AN187" s="4"/>
      <c r="AO187" s="4"/>
      <c r="AP187" s="4"/>
      <c r="AQ187" s="135"/>
      <c r="AR187" s="4"/>
      <c r="AS187" s="4"/>
      <c r="AT187" s="4"/>
      <c r="AU187" s="4"/>
      <c r="AV187" s="4"/>
      <c r="AW187" s="4"/>
      <c r="AX187" s="4"/>
      <c r="AY187" s="4"/>
      <c r="AZ187" s="4"/>
      <c r="BA187" s="4"/>
      <c r="BB187" s="4"/>
      <c r="BC187" s="135"/>
      <c r="BD187" s="4"/>
      <c r="BE187" s="4"/>
      <c r="BF187" s="4"/>
      <c r="BG187" s="4"/>
      <c r="BH187" s="4"/>
      <c r="BI187" s="4"/>
      <c r="BJ187" s="4"/>
      <c r="BK187" s="4"/>
      <c r="BL187" s="4"/>
      <c r="BM187" s="4"/>
      <c r="BN187" s="4"/>
      <c r="BO187" s="135"/>
      <c r="BP187" s="135"/>
      <c r="BQ187" s="135"/>
      <c r="BR187" s="4"/>
      <c r="BS187" s="4"/>
      <c r="BT187" s="118"/>
      <c r="BU187" s="4"/>
      <c r="BV187" s="4"/>
      <c r="BW187" s="4"/>
      <c r="BX187" s="4"/>
      <c r="BY187" s="4"/>
      <c r="BZ187" s="4"/>
      <c r="CA187" s="118"/>
      <c r="CB187" s="4"/>
      <c r="CC187" s="4"/>
      <c r="CD187" s="4"/>
      <c r="CE187" s="135"/>
      <c r="CF187" s="135"/>
      <c r="CG187" s="135"/>
      <c r="CH187" s="135"/>
      <c r="CI187" s="135"/>
      <c r="CJ187" s="135"/>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118"/>
      <c r="DU187" s="4"/>
      <c r="DV187" s="4"/>
      <c r="DW187" s="4"/>
      <c r="DX187" s="4"/>
      <c r="DY187" s="4"/>
      <c r="DZ187" s="4"/>
      <c r="EA187" s="4"/>
      <c r="EB187" s="4"/>
      <c r="EC187" s="4"/>
    </row>
    <row r="188" spans="1:133" s="1" customFormat="1" ht="30" customHeight="1" thickBot="1" x14ac:dyDescent="0.35">
      <c r="A188" s="7"/>
      <c r="B188" s="83" t="s">
        <v>119</v>
      </c>
      <c r="C188" s="84" t="s">
        <v>246</v>
      </c>
      <c r="D188" s="85"/>
      <c r="E188" s="86">
        <v>46396</v>
      </c>
      <c r="F188" s="86">
        <v>46396</v>
      </c>
      <c r="G188" s="31">
        <f t="shared" si="56"/>
        <v>1</v>
      </c>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118"/>
      <c r="AM188" s="4"/>
      <c r="AN188" s="4"/>
      <c r="AO188" s="4"/>
      <c r="AP188" s="4"/>
      <c r="AQ188" s="135"/>
      <c r="AR188" s="4"/>
      <c r="AS188" s="4"/>
      <c r="AT188" s="4"/>
      <c r="AU188" s="4"/>
      <c r="AV188" s="4"/>
      <c r="AW188" s="4"/>
      <c r="AX188" s="4"/>
      <c r="AY188" s="4"/>
      <c r="AZ188" s="4"/>
      <c r="BA188" s="4"/>
      <c r="BB188" s="4"/>
      <c r="BC188" s="135"/>
      <c r="BD188" s="4"/>
      <c r="BE188" s="4"/>
      <c r="BF188" s="4"/>
      <c r="BG188" s="4"/>
      <c r="BH188" s="4"/>
      <c r="BI188" s="4"/>
      <c r="BJ188" s="4"/>
      <c r="BK188" s="4"/>
      <c r="BL188" s="4"/>
      <c r="BM188" s="4"/>
      <c r="BN188" s="4"/>
      <c r="BO188" s="135"/>
      <c r="BP188" s="135"/>
      <c r="BQ188" s="135"/>
      <c r="BR188" s="4"/>
      <c r="BS188" s="4"/>
      <c r="BT188" s="118"/>
      <c r="BU188" s="4"/>
      <c r="BV188" s="4"/>
      <c r="BW188" s="4"/>
      <c r="BX188" s="4"/>
      <c r="BY188" s="4"/>
      <c r="BZ188" s="4"/>
      <c r="CA188" s="118"/>
      <c r="CB188" s="4"/>
      <c r="CC188" s="4"/>
      <c r="CD188" s="4"/>
      <c r="CE188" s="135"/>
      <c r="CF188" s="135"/>
      <c r="CG188" s="135"/>
      <c r="CH188" s="135"/>
      <c r="CI188" s="135"/>
      <c r="CJ188" s="135"/>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118"/>
      <c r="DU188" s="4"/>
      <c r="DV188" s="4"/>
      <c r="DW188" s="4"/>
      <c r="DX188" s="4"/>
      <c r="DY188" s="4"/>
      <c r="DZ188" s="4"/>
      <c r="EA188" s="4"/>
      <c r="EB188" s="4"/>
      <c r="EC188" s="4"/>
    </row>
    <row r="189" spans="1:133" s="1" customFormat="1" ht="30" customHeight="1" thickBot="1" x14ac:dyDescent="0.35">
      <c r="A189" s="7"/>
      <c r="B189" s="83" t="s">
        <v>146</v>
      </c>
      <c r="C189" s="84" t="s">
        <v>246</v>
      </c>
      <c r="D189" s="85"/>
      <c r="E189" s="86">
        <v>46396</v>
      </c>
      <c r="F189" s="86">
        <v>46396</v>
      </c>
      <c r="G189" s="31">
        <f t="shared" si="56"/>
        <v>1</v>
      </c>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118"/>
      <c r="AM189" s="4"/>
      <c r="AN189" s="4"/>
      <c r="AO189" s="4"/>
      <c r="AP189" s="4"/>
      <c r="AQ189" s="135"/>
      <c r="AR189" s="4"/>
      <c r="AS189" s="4"/>
      <c r="AT189" s="4"/>
      <c r="AU189" s="4"/>
      <c r="AV189" s="4"/>
      <c r="AW189" s="4"/>
      <c r="AX189" s="4"/>
      <c r="AY189" s="4"/>
      <c r="AZ189" s="4"/>
      <c r="BA189" s="4"/>
      <c r="BB189" s="4"/>
      <c r="BC189" s="135"/>
      <c r="BD189" s="4"/>
      <c r="BE189" s="4"/>
      <c r="BF189" s="4"/>
      <c r="BG189" s="4"/>
      <c r="BH189" s="4"/>
      <c r="BI189" s="4"/>
      <c r="BJ189" s="4"/>
      <c r="BK189" s="4"/>
      <c r="BL189" s="4"/>
      <c r="BM189" s="4"/>
      <c r="BN189" s="4"/>
      <c r="BO189" s="135"/>
      <c r="BP189" s="135"/>
      <c r="BQ189" s="135"/>
      <c r="BR189" s="4"/>
      <c r="BS189" s="4"/>
      <c r="BT189" s="118"/>
      <c r="BU189" s="4"/>
      <c r="BV189" s="4"/>
      <c r="BW189" s="4"/>
      <c r="BX189" s="4"/>
      <c r="BY189" s="4"/>
      <c r="BZ189" s="4"/>
      <c r="CA189" s="118"/>
      <c r="CB189" s="4"/>
      <c r="CC189" s="4"/>
      <c r="CD189" s="4"/>
      <c r="CE189" s="135"/>
      <c r="CF189" s="135"/>
      <c r="CG189" s="135"/>
      <c r="CH189" s="135"/>
      <c r="CI189" s="135"/>
      <c r="CJ189" s="135"/>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118"/>
      <c r="DU189" s="4"/>
      <c r="DV189" s="4"/>
      <c r="DW189" s="4"/>
      <c r="DX189" s="4"/>
      <c r="DY189" s="4"/>
      <c r="DZ189" s="4"/>
      <c r="EA189" s="4"/>
      <c r="EB189" s="4"/>
      <c r="EC189" s="4"/>
    </row>
    <row r="190" spans="1:133" s="1" customFormat="1" ht="30" customHeight="1" thickBot="1" x14ac:dyDescent="0.35">
      <c r="A190" s="7" t="s">
        <v>11</v>
      </c>
      <c r="B190" s="106" t="s">
        <v>180</v>
      </c>
      <c r="C190" s="107"/>
      <c r="D190" s="108"/>
      <c r="E190" s="109"/>
      <c r="F190" s="110"/>
      <c r="G190" s="31" t="str">
        <f t="shared" si="56"/>
        <v/>
      </c>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118"/>
      <c r="AM190" s="4"/>
      <c r="AN190" s="4"/>
      <c r="AO190" s="4"/>
      <c r="AP190" s="4"/>
      <c r="AQ190" s="135"/>
      <c r="AR190" s="4"/>
      <c r="AS190" s="4"/>
      <c r="AT190" s="4"/>
      <c r="AU190" s="4"/>
      <c r="AV190" s="4"/>
      <c r="AW190" s="4"/>
      <c r="AX190" s="4"/>
      <c r="AY190" s="4"/>
      <c r="AZ190" s="4"/>
      <c r="BA190" s="4"/>
      <c r="BB190" s="4"/>
      <c r="BC190" s="135"/>
      <c r="BD190" s="4"/>
      <c r="BE190" s="4"/>
      <c r="BF190" s="4"/>
      <c r="BG190" s="4"/>
      <c r="BH190" s="4"/>
      <c r="BI190" s="4"/>
      <c r="BJ190" s="4"/>
      <c r="BK190" s="4"/>
      <c r="BL190" s="4"/>
      <c r="BM190" s="4"/>
      <c r="BN190" s="4"/>
      <c r="BO190" s="135"/>
      <c r="BP190" s="135"/>
      <c r="BQ190" s="135"/>
      <c r="BR190" s="4"/>
      <c r="BS190" s="4"/>
      <c r="BT190" s="118"/>
      <c r="BU190" s="4"/>
      <c r="BV190" s="4"/>
      <c r="BW190" s="4"/>
      <c r="BX190" s="4"/>
      <c r="BY190" s="4"/>
      <c r="BZ190" s="4"/>
      <c r="CA190" s="118"/>
      <c r="CB190" s="4"/>
      <c r="CC190" s="4"/>
      <c r="CD190" s="4"/>
      <c r="CE190" s="135"/>
      <c r="CF190" s="135"/>
      <c r="CG190" s="135"/>
      <c r="CH190" s="135"/>
      <c r="CI190" s="135"/>
      <c r="CJ190" s="135"/>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118"/>
      <c r="DU190" s="4"/>
      <c r="DV190" s="4"/>
      <c r="DW190" s="4"/>
      <c r="DX190" s="4"/>
      <c r="DY190" s="4"/>
      <c r="DZ190" s="4"/>
      <c r="EA190" s="4"/>
      <c r="EB190" s="4"/>
      <c r="EC190" s="4"/>
    </row>
    <row r="191" spans="1:133" s="1" customFormat="1" ht="30" customHeight="1" thickBot="1" x14ac:dyDescent="0.35">
      <c r="A191" s="7"/>
      <c r="B191" s="111" t="s">
        <v>153</v>
      </c>
      <c r="C191" s="112" t="s">
        <v>246</v>
      </c>
      <c r="D191" s="113"/>
      <c r="E191" s="114">
        <v>46344</v>
      </c>
      <c r="F191" s="114">
        <v>46344</v>
      </c>
      <c r="G191" s="31">
        <f t="shared" si="56"/>
        <v>1</v>
      </c>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118"/>
      <c r="AM191" s="4"/>
      <c r="AN191" s="4"/>
      <c r="AO191" s="4"/>
      <c r="AP191" s="4"/>
      <c r="AQ191" s="135"/>
      <c r="AR191" s="4"/>
      <c r="AS191" s="4"/>
      <c r="AT191" s="4"/>
      <c r="AU191" s="4"/>
      <c r="AV191" s="4"/>
      <c r="AW191" s="4"/>
      <c r="AX191" s="4"/>
      <c r="AY191" s="4"/>
      <c r="AZ191" s="4"/>
      <c r="BA191" s="4"/>
      <c r="BB191" s="4"/>
      <c r="BC191" s="135"/>
      <c r="BD191" s="4"/>
      <c r="BE191" s="4"/>
      <c r="BF191" s="4"/>
      <c r="BG191" s="4"/>
      <c r="BH191" s="4"/>
      <c r="BI191" s="4"/>
      <c r="BJ191" s="4"/>
      <c r="BK191" s="4"/>
      <c r="BL191" s="4"/>
      <c r="BM191" s="4"/>
      <c r="BN191" s="4"/>
      <c r="BO191" s="135"/>
      <c r="BP191" s="135"/>
      <c r="BQ191" s="135"/>
      <c r="BR191" s="4"/>
      <c r="BS191" s="4"/>
      <c r="BT191" s="118"/>
      <c r="BU191" s="4"/>
      <c r="BV191" s="4"/>
      <c r="BW191" s="4"/>
      <c r="BX191" s="4"/>
      <c r="BY191" s="4"/>
      <c r="BZ191" s="4"/>
      <c r="CA191" s="118"/>
      <c r="CB191" s="4"/>
      <c r="CC191" s="4"/>
      <c r="CD191" s="4"/>
      <c r="CE191" s="135"/>
      <c r="CF191" s="135"/>
      <c r="CG191" s="135"/>
      <c r="CH191" s="135"/>
      <c r="CI191" s="135"/>
      <c r="CJ191" s="135"/>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118"/>
      <c r="DU191" s="4"/>
      <c r="DV191" s="4"/>
      <c r="DW191" s="4"/>
      <c r="DX191" s="4"/>
      <c r="DY191" s="4"/>
      <c r="DZ191" s="4"/>
      <c r="EA191" s="4"/>
      <c r="EB191" s="4"/>
      <c r="EC191" s="4"/>
    </row>
    <row r="192" spans="1:133" s="1" customFormat="1" ht="30" customHeight="1" thickBot="1" x14ac:dyDescent="0.35">
      <c r="A192" s="7"/>
      <c r="B192" s="111" t="s">
        <v>173</v>
      </c>
      <c r="C192" s="112" t="s">
        <v>246</v>
      </c>
      <c r="D192" s="113"/>
      <c r="E192" s="114">
        <v>46344</v>
      </c>
      <c r="F192" s="114">
        <v>46344</v>
      </c>
      <c r="G192" s="31">
        <v>1</v>
      </c>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118"/>
      <c r="AM192" s="4"/>
      <c r="AN192" s="4"/>
      <c r="AO192" s="4"/>
      <c r="AP192" s="4"/>
      <c r="AQ192" s="135"/>
      <c r="AR192" s="4"/>
      <c r="AS192" s="4"/>
      <c r="AT192" s="4"/>
      <c r="AU192" s="4"/>
      <c r="AV192" s="4"/>
      <c r="AW192" s="4"/>
      <c r="AX192" s="4"/>
      <c r="AY192" s="4"/>
      <c r="AZ192" s="4"/>
      <c r="BA192" s="4"/>
      <c r="BB192" s="4"/>
      <c r="BC192" s="135"/>
      <c r="BD192" s="4"/>
      <c r="BE192" s="4"/>
      <c r="BF192" s="4"/>
      <c r="BG192" s="4"/>
      <c r="BH192" s="4"/>
      <c r="BI192" s="4"/>
      <c r="BJ192" s="4"/>
      <c r="BK192" s="4"/>
      <c r="BL192" s="4"/>
      <c r="BM192" s="4"/>
      <c r="BN192" s="4"/>
      <c r="BO192" s="135"/>
      <c r="BP192" s="135"/>
      <c r="BQ192" s="135"/>
      <c r="BR192" s="4"/>
      <c r="BS192" s="4"/>
      <c r="BT192" s="118"/>
      <c r="BU192" s="4"/>
      <c r="BV192" s="4"/>
      <c r="BW192" s="4"/>
      <c r="BX192" s="4"/>
      <c r="BY192" s="4"/>
      <c r="BZ192" s="4"/>
      <c r="CA192" s="118"/>
      <c r="CB192" s="4"/>
      <c r="CC192" s="4"/>
      <c r="CD192" s="4"/>
      <c r="CE192" s="135"/>
      <c r="CF192" s="135"/>
      <c r="CG192" s="135"/>
      <c r="CH192" s="135"/>
      <c r="CI192" s="135"/>
      <c r="CJ192" s="135"/>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118"/>
      <c r="DU192" s="4"/>
      <c r="DV192" s="4"/>
      <c r="DW192" s="4"/>
      <c r="DX192" s="4"/>
      <c r="DY192" s="4"/>
      <c r="DZ192" s="4"/>
      <c r="EA192" s="4"/>
      <c r="EB192" s="4"/>
      <c r="EC192" s="4"/>
    </row>
    <row r="193" spans="1:133" s="1" customFormat="1" ht="30" customHeight="1" thickBot="1" x14ac:dyDescent="0.35">
      <c r="A193" s="7"/>
      <c r="B193" s="111" t="s">
        <v>174</v>
      </c>
      <c r="C193" s="112" t="s">
        <v>246</v>
      </c>
      <c r="D193" s="113"/>
      <c r="E193" s="114">
        <v>46344</v>
      </c>
      <c r="F193" s="114">
        <v>46344</v>
      </c>
      <c r="G193" s="31">
        <v>1</v>
      </c>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118"/>
      <c r="AM193" s="4"/>
      <c r="AN193" s="4"/>
      <c r="AO193" s="4"/>
      <c r="AP193" s="4"/>
      <c r="AQ193" s="135"/>
      <c r="AR193" s="4"/>
      <c r="AS193" s="4"/>
      <c r="AT193" s="4"/>
      <c r="AU193" s="4"/>
      <c r="AV193" s="4"/>
      <c r="AW193" s="4"/>
      <c r="AX193" s="4"/>
      <c r="AY193" s="4"/>
      <c r="AZ193" s="4"/>
      <c r="BA193" s="4"/>
      <c r="BB193" s="4"/>
      <c r="BC193" s="135"/>
      <c r="BD193" s="4"/>
      <c r="BE193" s="4"/>
      <c r="BF193" s="4"/>
      <c r="BG193" s="4"/>
      <c r="BH193" s="4"/>
      <c r="BI193" s="4"/>
      <c r="BJ193" s="4"/>
      <c r="BK193" s="4"/>
      <c r="BL193" s="4"/>
      <c r="BM193" s="4"/>
      <c r="BN193" s="4"/>
      <c r="BO193" s="135"/>
      <c r="BP193" s="135"/>
      <c r="BQ193" s="135"/>
      <c r="BR193" s="4"/>
      <c r="BS193" s="4"/>
      <c r="BT193" s="118"/>
      <c r="BU193" s="4"/>
      <c r="BV193" s="4"/>
      <c r="BW193" s="4"/>
      <c r="BX193" s="4"/>
      <c r="BY193" s="4"/>
      <c r="BZ193" s="4"/>
      <c r="CA193" s="118"/>
      <c r="CB193" s="4"/>
      <c r="CC193" s="4"/>
      <c r="CD193" s="4"/>
      <c r="CE193" s="135"/>
      <c r="CF193" s="135"/>
      <c r="CG193" s="135"/>
      <c r="CH193" s="135"/>
      <c r="CI193" s="135"/>
      <c r="CJ193" s="135"/>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118"/>
      <c r="DU193" s="4"/>
      <c r="DV193" s="4"/>
      <c r="DW193" s="4"/>
      <c r="DX193" s="4"/>
      <c r="DY193" s="4"/>
      <c r="DZ193" s="4"/>
      <c r="EA193" s="4"/>
      <c r="EB193" s="4"/>
      <c r="EC193" s="4"/>
    </row>
    <row r="194" spans="1:133" s="1" customFormat="1" ht="30" customHeight="1" thickBot="1" x14ac:dyDescent="0.35">
      <c r="A194" s="7"/>
      <c r="B194" s="111" t="s">
        <v>175</v>
      </c>
      <c r="C194" s="112" t="s">
        <v>246</v>
      </c>
      <c r="D194" s="113"/>
      <c r="E194" s="114">
        <v>46345</v>
      </c>
      <c r="F194" s="114">
        <v>46345</v>
      </c>
      <c r="G194" s="31">
        <v>1</v>
      </c>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118"/>
      <c r="AM194" s="4"/>
      <c r="AN194" s="4"/>
      <c r="AO194" s="4"/>
      <c r="AP194" s="4"/>
      <c r="AQ194" s="135"/>
      <c r="AR194" s="4"/>
      <c r="AS194" s="4"/>
      <c r="AT194" s="4"/>
      <c r="AU194" s="4"/>
      <c r="AV194" s="4"/>
      <c r="AW194" s="4"/>
      <c r="AX194" s="4"/>
      <c r="AY194" s="4"/>
      <c r="AZ194" s="4"/>
      <c r="BA194" s="4"/>
      <c r="BB194" s="4"/>
      <c r="BC194" s="135"/>
      <c r="BD194" s="4"/>
      <c r="BE194" s="4"/>
      <c r="BF194" s="4"/>
      <c r="BG194" s="4"/>
      <c r="BH194" s="4"/>
      <c r="BI194" s="4"/>
      <c r="BJ194" s="4"/>
      <c r="BK194" s="4"/>
      <c r="BL194" s="4"/>
      <c r="BM194" s="4"/>
      <c r="BN194" s="4"/>
      <c r="BO194" s="135"/>
      <c r="BP194" s="135"/>
      <c r="BQ194" s="135"/>
      <c r="BR194" s="4"/>
      <c r="BS194" s="4"/>
      <c r="BT194" s="118"/>
      <c r="BU194" s="4"/>
      <c r="BV194" s="4"/>
      <c r="BW194" s="4"/>
      <c r="BX194" s="4"/>
      <c r="BY194" s="4"/>
      <c r="BZ194" s="4"/>
      <c r="CA194" s="118"/>
      <c r="CB194" s="4"/>
      <c r="CC194" s="4"/>
      <c r="CD194" s="4"/>
      <c r="CE194" s="135"/>
      <c r="CF194" s="135"/>
      <c r="CG194" s="135"/>
      <c r="CH194" s="135"/>
      <c r="CI194" s="135"/>
      <c r="CJ194" s="135"/>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118"/>
      <c r="DU194" s="4"/>
      <c r="DV194" s="4"/>
      <c r="DW194" s="4"/>
      <c r="DX194" s="4"/>
      <c r="DY194" s="4"/>
      <c r="DZ194" s="4"/>
      <c r="EA194" s="4"/>
      <c r="EB194" s="4"/>
      <c r="EC194" s="4"/>
    </row>
    <row r="195" spans="1:133" s="1" customFormat="1" ht="30" customHeight="1" thickBot="1" x14ac:dyDescent="0.35">
      <c r="A195" s="7"/>
      <c r="B195" s="111" t="s">
        <v>154</v>
      </c>
      <c r="C195" s="112" t="s">
        <v>246</v>
      </c>
      <c r="D195" s="113"/>
      <c r="E195" s="114">
        <v>46345</v>
      </c>
      <c r="F195" s="114">
        <v>46345</v>
      </c>
      <c r="G195" s="31">
        <f t="shared" si="56"/>
        <v>1</v>
      </c>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118"/>
      <c r="AM195" s="4"/>
      <c r="AN195" s="4"/>
      <c r="AO195" s="4"/>
      <c r="AP195" s="4"/>
      <c r="AQ195" s="135"/>
      <c r="AR195" s="4"/>
      <c r="AS195" s="4"/>
      <c r="AT195" s="4"/>
      <c r="AU195" s="4"/>
      <c r="AV195" s="4"/>
      <c r="AW195" s="4"/>
      <c r="AX195" s="4"/>
      <c r="AY195" s="4"/>
      <c r="AZ195" s="4"/>
      <c r="BA195" s="4"/>
      <c r="BB195" s="4"/>
      <c r="BC195" s="135"/>
      <c r="BD195" s="4"/>
      <c r="BE195" s="4"/>
      <c r="BF195" s="4"/>
      <c r="BG195" s="4"/>
      <c r="BH195" s="4"/>
      <c r="BI195" s="4"/>
      <c r="BJ195" s="4"/>
      <c r="BK195" s="4"/>
      <c r="BL195" s="4"/>
      <c r="BM195" s="4"/>
      <c r="BN195" s="4"/>
      <c r="BO195" s="135"/>
      <c r="BP195" s="135"/>
      <c r="BQ195" s="135"/>
      <c r="BR195" s="4"/>
      <c r="BS195" s="4"/>
      <c r="BT195" s="118"/>
      <c r="BU195" s="4"/>
      <c r="BV195" s="4"/>
      <c r="BW195" s="4"/>
      <c r="BX195" s="4"/>
      <c r="BY195" s="4"/>
      <c r="BZ195" s="4"/>
      <c r="CA195" s="118"/>
      <c r="CB195" s="4"/>
      <c r="CC195" s="4"/>
      <c r="CD195" s="4"/>
      <c r="CE195" s="135"/>
      <c r="CF195" s="135"/>
      <c r="CG195" s="135"/>
      <c r="CH195" s="135"/>
      <c r="CI195" s="135"/>
      <c r="CJ195" s="135"/>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118"/>
      <c r="DU195" s="4"/>
      <c r="DV195" s="4"/>
      <c r="DW195" s="4"/>
      <c r="DX195" s="4"/>
      <c r="DY195" s="4"/>
      <c r="DZ195" s="4"/>
      <c r="EA195" s="4"/>
      <c r="EB195" s="4"/>
      <c r="EC195" s="4"/>
    </row>
    <row r="196" spans="1:133" s="1" customFormat="1" ht="30" customHeight="1" thickBot="1" x14ac:dyDescent="0.35">
      <c r="A196" s="7"/>
      <c r="B196" s="111" t="s">
        <v>155</v>
      </c>
      <c r="C196" s="112" t="s">
        <v>246</v>
      </c>
      <c r="D196" s="113"/>
      <c r="E196" s="114">
        <v>46345</v>
      </c>
      <c r="F196" s="114">
        <v>46345</v>
      </c>
      <c r="G196" s="31">
        <f t="shared" si="56"/>
        <v>1</v>
      </c>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118"/>
      <c r="AM196" s="4"/>
      <c r="AN196" s="4"/>
      <c r="AO196" s="4"/>
      <c r="AP196" s="4"/>
      <c r="AQ196" s="135"/>
      <c r="AR196" s="4"/>
      <c r="AS196" s="4"/>
      <c r="AT196" s="4"/>
      <c r="AU196" s="4"/>
      <c r="AV196" s="4"/>
      <c r="AW196" s="4"/>
      <c r="AX196" s="4"/>
      <c r="AY196" s="4"/>
      <c r="AZ196" s="4"/>
      <c r="BA196" s="4"/>
      <c r="BB196" s="4"/>
      <c r="BC196" s="135"/>
      <c r="BD196" s="4"/>
      <c r="BE196" s="4"/>
      <c r="BF196" s="4"/>
      <c r="BG196" s="4"/>
      <c r="BH196" s="4"/>
      <c r="BI196" s="4"/>
      <c r="BJ196" s="4"/>
      <c r="BK196" s="4"/>
      <c r="BL196" s="4"/>
      <c r="BM196" s="4"/>
      <c r="BN196" s="4"/>
      <c r="BO196" s="135"/>
      <c r="BP196" s="135"/>
      <c r="BQ196" s="135"/>
      <c r="BR196" s="4"/>
      <c r="BS196" s="4"/>
      <c r="BT196" s="118"/>
      <c r="BU196" s="4"/>
      <c r="BV196" s="4"/>
      <c r="BW196" s="4"/>
      <c r="BX196" s="4"/>
      <c r="BY196" s="4"/>
      <c r="BZ196" s="4"/>
      <c r="CA196" s="118"/>
      <c r="CB196" s="4"/>
      <c r="CC196" s="4"/>
      <c r="CD196" s="4"/>
      <c r="CE196" s="135"/>
      <c r="CF196" s="135"/>
      <c r="CG196" s="135"/>
      <c r="CH196" s="135"/>
      <c r="CI196" s="135"/>
      <c r="CJ196" s="135"/>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118"/>
      <c r="DU196" s="4"/>
      <c r="DV196" s="4"/>
      <c r="DW196" s="4"/>
      <c r="DX196" s="4"/>
      <c r="DY196" s="4"/>
      <c r="DZ196" s="4"/>
      <c r="EA196" s="4"/>
      <c r="EB196" s="4"/>
      <c r="EC196" s="4"/>
    </row>
    <row r="197" spans="1:133" s="1" customFormat="1" ht="30" customHeight="1" thickBot="1" x14ac:dyDescent="0.35">
      <c r="A197" s="7"/>
      <c r="B197" s="111" t="s">
        <v>156</v>
      </c>
      <c r="C197" s="112" t="s">
        <v>246</v>
      </c>
      <c r="D197" s="113"/>
      <c r="E197" s="114">
        <v>46346</v>
      </c>
      <c r="F197" s="114">
        <v>46346</v>
      </c>
      <c r="G197" s="31">
        <f t="shared" si="56"/>
        <v>1</v>
      </c>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118"/>
      <c r="AM197" s="4"/>
      <c r="AN197" s="4"/>
      <c r="AO197" s="4"/>
      <c r="AP197" s="4"/>
      <c r="AQ197" s="135"/>
      <c r="AR197" s="4"/>
      <c r="AS197" s="4"/>
      <c r="AT197" s="4"/>
      <c r="AU197" s="4"/>
      <c r="AV197" s="4"/>
      <c r="AW197" s="4"/>
      <c r="AX197" s="4"/>
      <c r="AY197" s="4"/>
      <c r="AZ197" s="4"/>
      <c r="BA197" s="4"/>
      <c r="BB197" s="4"/>
      <c r="BC197" s="135"/>
      <c r="BD197" s="4"/>
      <c r="BE197" s="4"/>
      <c r="BF197" s="4"/>
      <c r="BG197" s="4"/>
      <c r="BH197" s="4"/>
      <c r="BI197" s="4"/>
      <c r="BJ197" s="4"/>
      <c r="BK197" s="4"/>
      <c r="BL197" s="4"/>
      <c r="BM197" s="4"/>
      <c r="BN197" s="4"/>
      <c r="BO197" s="135"/>
      <c r="BP197" s="135"/>
      <c r="BQ197" s="135"/>
      <c r="BR197" s="4"/>
      <c r="BS197" s="4"/>
      <c r="BT197" s="118"/>
      <c r="BU197" s="4"/>
      <c r="BV197" s="4"/>
      <c r="BW197" s="4"/>
      <c r="BX197" s="4"/>
      <c r="BY197" s="4"/>
      <c r="BZ197" s="4"/>
      <c r="CA197" s="118"/>
      <c r="CB197" s="4"/>
      <c r="CC197" s="4"/>
      <c r="CD197" s="4"/>
      <c r="CE197" s="135"/>
      <c r="CF197" s="135"/>
      <c r="CG197" s="135"/>
      <c r="CH197" s="135"/>
      <c r="CI197" s="135"/>
      <c r="CJ197" s="135"/>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118"/>
      <c r="DU197" s="4"/>
      <c r="DV197" s="4"/>
      <c r="DW197" s="4"/>
      <c r="DX197" s="4"/>
      <c r="DY197" s="4"/>
      <c r="DZ197" s="4"/>
      <c r="EA197" s="4"/>
      <c r="EB197" s="4"/>
      <c r="EC197" s="4"/>
    </row>
    <row r="198" spans="1:133" s="1" customFormat="1" ht="30" customHeight="1" thickBot="1" x14ac:dyDescent="0.35">
      <c r="A198" s="7"/>
      <c r="B198" s="111" t="s">
        <v>157</v>
      </c>
      <c r="C198" s="112" t="s">
        <v>246</v>
      </c>
      <c r="D198" s="113"/>
      <c r="E198" s="114">
        <v>46346</v>
      </c>
      <c r="F198" s="114">
        <v>46346</v>
      </c>
      <c r="G198" s="31">
        <f t="shared" si="56"/>
        <v>1</v>
      </c>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118"/>
      <c r="AM198" s="4"/>
      <c r="AN198" s="4"/>
      <c r="AO198" s="4"/>
      <c r="AP198" s="4"/>
      <c r="AQ198" s="135"/>
      <c r="AR198" s="4"/>
      <c r="AS198" s="4"/>
      <c r="AT198" s="4"/>
      <c r="AU198" s="4"/>
      <c r="AV198" s="4"/>
      <c r="AW198" s="4"/>
      <c r="AX198" s="4"/>
      <c r="AY198" s="4"/>
      <c r="AZ198" s="4"/>
      <c r="BA198" s="4"/>
      <c r="BB198" s="4"/>
      <c r="BC198" s="135"/>
      <c r="BD198" s="4"/>
      <c r="BE198" s="4"/>
      <c r="BF198" s="4"/>
      <c r="BG198" s="4"/>
      <c r="BH198" s="4"/>
      <c r="BI198" s="4"/>
      <c r="BJ198" s="4"/>
      <c r="BK198" s="4"/>
      <c r="BL198" s="4"/>
      <c r="BM198" s="4"/>
      <c r="BN198" s="4"/>
      <c r="BO198" s="135"/>
      <c r="BP198" s="135"/>
      <c r="BQ198" s="135"/>
      <c r="BR198" s="4"/>
      <c r="BS198" s="4"/>
      <c r="BT198" s="118"/>
      <c r="BU198" s="4"/>
      <c r="BV198" s="4"/>
      <c r="BW198" s="4"/>
      <c r="BX198" s="4"/>
      <c r="BY198" s="4"/>
      <c r="BZ198" s="4"/>
      <c r="CA198" s="118"/>
      <c r="CB198" s="4"/>
      <c r="CC198" s="4"/>
      <c r="CD198" s="4"/>
      <c r="CE198" s="135"/>
      <c r="CF198" s="135"/>
      <c r="CG198" s="135"/>
      <c r="CH198" s="135"/>
      <c r="CI198" s="135"/>
      <c r="CJ198" s="135"/>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118"/>
      <c r="DU198" s="4"/>
      <c r="DV198" s="4"/>
      <c r="DW198" s="4"/>
      <c r="DX198" s="4"/>
      <c r="DY198" s="4"/>
      <c r="DZ198" s="4"/>
      <c r="EA198" s="4"/>
      <c r="EB198" s="4"/>
      <c r="EC198" s="4"/>
    </row>
    <row r="199" spans="1:133" s="1" customFormat="1" ht="30" customHeight="1" thickBot="1" x14ac:dyDescent="0.35">
      <c r="A199" s="7"/>
      <c r="B199" s="111" t="s">
        <v>158</v>
      </c>
      <c r="C199" s="112" t="s">
        <v>246</v>
      </c>
      <c r="D199" s="113"/>
      <c r="E199" s="114">
        <v>46346</v>
      </c>
      <c r="F199" s="114">
        <v>46346</v>
      </c>
      <c r="G199" s="31">
        <f t="shared" si="56"/>
        <v>1</v>
      </c>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118"/>
      <c r="AM199" s="4"/>
      <c r="AN199" s="4"/>
      <c r="AO199" s="4"/>
      <c r="AP199" s="4"/>
      <c r="AQ199" s="135"/>
      <c r="AR199" s="4"/>
      <c r="AS199" s="4"/>
      <c r="AT199" s="4"/>
      <c r="AU199" s="4"/>
      <c r="AV199" s="4"/>
      <c r="AW199" s="4"/>
      <c r="AX199" s="4"/>
      <c r="AY199" s="4"/>
      <c r="AZ199" s="4"/>
      <c r="BA199" s="4"/>
      <c r="BB199" s="4"/>
      <c r="BC199" s="135"/>
      <c r="BD199" s="4"/>
      <c r="BE199" s="4"/>
      <c r="BF199" s="4"/>
      <c r="BG199" s="4"/>
      <c r="BH199" s="4"/>
      <c r="BI199" s="4"/>
      <c r="BJ199" s="4"/>
      <c r="BK199" s="4"/>
      <c r="BL199" s="4"/>
      <c r="BM199" s="4"/>
      <c r="BN199" s="4"/>
      <c r="BO199" s="135"/>
      <c r="BP199" s="135"/>
      <c r="BQ199" s="135"/>
      <c r="BR199" s="4"/>
      <c r="BS199" s="4"/>
      <c r="BT199" s="118"/>
      <c r="BU199" s="4"/>
      <c r="BV199" s="4"/>
      <c r="BW199" s="4"/>
      <c r="BX199" s="4"/>
      <c r="BY199" s="4"/>
      <c r="BZ199" s="4"/>
      <c r="CA199" s="118"/>
      <c r="CB199" s="4"/>
      <c r="CC199" s="4"/>
      <c r="CD199" s="4"/>
      <c r="CE199" s="135"/>
      <c r="CF199" s="135"/>
      <c r="CG199" s="135"/>
      <c r="CH199" s="135"/>
      <c r="CI199" s="135"/>
      <c r="CJ199" s="135"/>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118"/>
      <c r="DU199" s="4"/>
      <c r="DV199" s="4"/>
      <c r="DW199" s="4"/>
      <c r="DX199" s="4"/>
      <c r="DY199" s="4"/>
      <c r="DZ199" s="4"/>
      <c r="EA199" s="4"/>
      <c r="EB199" s="4"/>
      <c r="EC199" s="4"/>
    </row>
    <row r="200" spans="1:133" s="1" customFormat="1" ht="30" customHeight="1" thickBot="1" x14ac:dyDescent="0.35">
      <c r="A200" s="7"/>
      <c r="B200" s="111" t="s">
        <v>159</v>
      </c>
      <c r="C200" s="112" t="s">
        <v>246</v>
      </c>
      <c r="D200" s="113"/>
      <c r="E200" s="114">
        <v>46347</v>
      </c>
      <c r="F200" s="114">
        <v>46347</v>
      </c>
      <c r="G200" s="31">
        <f t="shared" si="56"/>
        <v>1</v>
      </c>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118"/>
      <c r="AM200" s="4"/>
      <c r="AN200" s="4"/>
      <c r="AO200" s="4"/>
      <c r="AP200" s="4"/>
      <c r="AQ200" s="135"/>
      <c r="AR200" s="4"/>
      <c r="AS200" s="4"/>
      <c r="AT200" s="4"/>
      <c r="AU200" s="4"/>
      <c r="AV200" s="4"/>
      <c r="AW200" s="4"/>
      <c r="AX200" s="4"/>
      <c r="AY200" s="4"/>
      <c r="AZ200" s="4"/>
      <c r="BA200" s="4"/>
      <c r="BB200" s="4"/>
      <c r="BC200" s="135"/>
      <c r="BD200" s="4"/>
      <c r="BE200" s="4"/>
      <c r="BF200" s="4"/>
      <c r="BG200" s="4"/>
      <c r="BH200" s="4"/>
      <c r="BI200" s="4"/>
      <c r="BJ200" s="4"/>
      <c r="BK200" s="4"/>
      <c r="BL200" s="4"/>
      <c r="BM200" s="4"/>
      <c r="BN200" s="4"/>
      <c r="BO200" s="135"/>
      <c r="BP200" s="135"/>
      <c r="BQ200" s="135"/>
      <c r="BR200" s="4"/>
      <c r="BS200" s="4"/>
      <c r="BT200" s="118"/>
      <c r="BU200" s="4"/>
      <c r="BV200" s="4"/>
      <c r="BW200" s="4"/>
      <c r="BX200" s="4"/>
      <c r="BY200" s="4"/>
      <c r="BZ200" s="4"/>
      <c r="CA200" s="118"/>
      <c r="CB200" s="4"/>
      <c r="CC200" s="4"/>
      <c r="CD200" s="4"/>
      <c r="CE200" s="135"/>
      <c r="CF200" s="135"/>
      <c r="CG200" s="135"/>
      <c r="CH200" s="135"/>
      <c r="CI200" s="135"/>
      <c r="CJ200" s="135"/>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118"/>
      <c r="DU200" s="4"/>
      <c r="DV200" s="4"/>
      <c r="DW200" s="4"/>
      <c r="DX200" s="4"/>
      <c r="DY200" s="4"/>
      <c r="DZ200" s="4"/>
      <c r="EA200" s="4"/>
      <c r="EB200" s="4"/>
      <c r="EC200" s="4"/>
    </row>
    <row r="201" spans="1:133" s="1" customFormat="1" ht="30" customHeight="1" thickBot="1" x14ac:dyDescent="0.35">
      <c r="A201" s="7"/>
      <c r="B201" s="111" t="s">
        <v>160</v>
      </c>
      <c r="C201" s="112" t="s">
        <v>246</v>
      </c>
      <c r="D201" s="113"/>
      <c r="E201" s="114">
        <v>46347</v>
      </c>
      <c r="F201" s="114">
        <v>46347</v>
      </c>
      <c r="G201" s="31">
        <f t="shared" si="56"/>
        <v>1</v>
      </c>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118"/>
      <c r="AM201" s="4"/>
      <c r="AN201" s="4"/>
      <c r="AO201" s="4"/>
      <c r="AP201" s="4"/>
      <c r="AQ201" s="135"/>
      <c r="AR201" s="4"/>
      <c r="AS201" s="4"/>
      <c r="AT201" s="4"/>
      <c r="AU201" s="4"/>
      <c r="AV201" s="4"/>
      <c r="AW201" s="4"/>
      <c r="AX201" s="4"/>
      <c r="AY201" s="4"/>
      <c r="AZ201" s="4"/>
      <c r="BA201" s="4"/>
      <c r="BB201" s="4"/>
      <c r="BC201" s="135"/>
      <c r="BD201" s="4"/>
      <c r="BE201" s="4"/>
      <c r="BF201" s="4"/>
      <c r="BG201" s="4"/>
      <c r="BH201" s="4"/>
      <c r="BI201" s="4"/>
      <c r="BJ201" s="4"/>
      <c r="BK201" s="4"/>
      <c r="BL201" s="4"/>
      <c r="BM201" s="4"/>
      <c r="BN201" s="4"/>
      <c r="BO201" s="135"/>
      <c r="BP201" s="135"/>
      <c r="BQ201" s="135"/>
      <c r="BR201" s="4"/>
      <c r="BS201" s="4"/>
      <c r="BT201" s="118"/>
      <c r="BU201" s="4"/>
      <c r="BV201" s="4"/>
      <c r="BW201" s="4"/>
      <c r="BX201" s="4"/>
      <c r="BY201" s="4"/>
      <c r="BZ201" s="4"/>
      <c r="CA201" s="118"/>
      <c r="CB201" s="4"/>
      <c r="CC201" s="4"/>
      <c r="CD201" s="4"/>
      <c r="CE201" s="135"/>
      <c r="CF201" s="135"/>
      <c r="CG201" s="135"/>
      <c r="CH201" s="135"/>
      <c r="CI201" s="135"/>
      <c r="CJ201" s="135"/>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118"/>
      <c r="DU201" s="4"/>
      <c r="DV201" s="4"/>
      <c r="DW201" s="4"/>
      <c r="DX201" s="4"/>
      <c r="DY201" s="4"/>
      <c r="DZ201" s="4"/>
      <c r="EA201" s="4"/>
      <c r="EB201" s="4"/>
      <c r="EC201" s="4"/>
    </row>
    <row r="202" spans="1:133" s="1" customFormat="1" ht="30" customHeight="1" thickBot="1" x14ac:dyDescent="0.35">
      <c r="A202" s="7"/>
      <c r="B202" s="111" t="s">
        <v>161</v>
      </c>
      <c r="C202" s="112" t="s">
        <v>246</v>
      </c>
      <c r="D202" s="113"/>
      <c r="E202" s="114">
        <v>46347</v>
      </c>
      <c r="F202" s="114">
        <v>46347</v>
      </c>
      <c r="G202" s="31">
        <f t="shared" si="56"/>
        <v>1</v>
      </c>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118"/>
      <c r="AM202" s="4"/>
      <c r="AN202" s="4"/>
      <c r="AO202" s="4"/>
      <c r="AP202" s="4"/>
      <c r="AQ202" s="135"/>
      <c r="AR202" s="4"/>
      <c r="AS202" s="4"/>
      <c r="AT202" s="4"/>
      <c r="AU202" s="4"/>
      <c r="AV202" s="4"/>
      <c r="AW202" s="4"/>
      <c r="AX202" s="4"/>
      <c r="AY202" s="4"/>
      <c r="AZ202" s="4"/>
      <c r="BA202" s="4"/>
      <c r="BB202" s="4"/>
      <c r="BC202" s="135"/>
      <c r="BD202" s="4"/>
      <c r="BE202" s="4"/>
      <c r="BF202" s="4"/>
      <c r="BG202" s="4"/>
      <c r="BH202" s="4"/>
      <c r="BI202" s="4"/>
      <c r="BJ202" s="4"/>
      <c r="BK202" s="4"/>
      <c r="BL202" s="4"/>
      <c r="BM202" s="4"/>
      <c r="BN202" s="4"/>
      <c r="BO202" s="135"/>
      <c r="BP202" s="135"/>
      <c r="BQ202" s="135"/>
      <c r="BR202" s="4"/>
      <c r="BS202" s="4"/>
      <c r="BT202" s="118"/>
      <c r="BU202" s="4"/>
      <c r="BV202" s="4"/>
      <c r="BW202" s="4"/>
      <c r="BX202" s="4"/>
      <c r="BY202" s="4"/>
      <c r="BZ202" s="4"/>
      <c r="CA202" s="118"/>
      <c r="CB202" s="4"/>
      <c r="CC202" s="4"/>
      <c r="CD202" s="4"/>
      <c r="CE202" s="135"/>
      <c r="CF202" s="135"/>
      <c r="CG202" s="135"/>
      <c r="CH202" s="135"/>
      <c r="CI202" s="135"/>
      <c r="CJ202" s="135"/>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118"/>
      <c r="DU202" s="4"/>
      <c r="DV202" s="4"/>
      <c r="DW202" s="4"/>
      <c r="DX202" s="4"/>
      <c r="DY202" s="4"/>
      <c r="DZ202" s="4"/>
      <c r="EA202" s="4"/>
      <c r="EB202" s="4"/>
      <c r="EC202" s="4"/>
    </row>
    <row r="203" spans="1:133" s="1" customFormat="1" ht="30" customHeight="1" thickBot="1" x14ac:dyDescent="0.35">
      <c r="A203" s="7"/>
      <c r="B203" s="111" t="s">
        <v>162</v>
      </c>
      <c r="C203" s="112" t="s">
        <v>246</v>
      </c>
      <c r="D203" s="113"/>
      <c r="E203" s="114">
        <v>46348</v>
      </c>
      <c r="F203" s="114">
        <v>46348</v>
      </c>
      <c r="G203" s="31">
        <f t="shared" si="56"/>
        <v>1</v>
      </c>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118"/>
      <c r="AM203" s="4"/>
      <c r="AN203" s="4"/>
      <c r="AO203" s="4"/>
      <c r="AP203" s="4"/>
      <c r="AQ203" s="135"/>
      <c r="AR203" s="4"/>
      <c r="AS203" s="4"/>
      <c r="AT203" s="4"/>
      <c r="AU203" s="4"/>
      <c r="AV203" s="4"/>
      <c r="AW203" s="4"/>
      <c r="AX203" s="4"/>
      <c r="AY203" s="4"/>
      <c r="AZ203" s="4"/>
      <c r="BA203" s="4"/>
      <c r="BB203" s="4"/>
      <c r="BC203" s="135"/>
      <c r="BD203" s="4"/>
      <c r="BE203" s="4"/>
      <c r="BF203" s="4"/>
      <c r="BG203" s="4"/>
      <c r="BH203" s="4"/>
      <c r="BI203" s="4"/>
      <c r="BJ203" s="4"/>
      <c r="BK203" s="4"/>
      <c r="BL203" s="4"/>
      <c r="BM203" s="4"/>
      <c r="BN203" s="4"/>
      <c r="BO203" s="135"/>
      <c r="BP203" s="135"/>
      <c r="BQ203" s="135"/>
      <c r="BR203" s="4"/>
      <c r="BS203" s="4"/>
      <c r="BT203" s="118"/>
      <c r="BU203" s="4"/>
      <c r="BV203" s="4"/>
      <c r="BW203" s="4"/>
      <c r="BX203" s="4"/>
      <c r="BY203" s="4"/>
      <c r="BZ203" s="4"/>
      <c r="CA203" s="118"/>
      <c r="CB203" s="4"/>
      <c r="CC203" s="4"/>
      <c r="CD203" s="4"/>
      <c r="CE203" s="135"/>
      <c r="CF203" s="135"/>
      <c r="CG203" s="135"/>
      <c r="CH203" s="135"/>
      <c r="CI203" s="135"/>
      <c r="CJ203" s="135"/>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118"/>
      <c r="DU203" s="4"/>
      <c r="DV203" s="4"/>
      <c r="DW203" s="4"/>
      <c r="DX203" s="4"/>
      <c r="DY203" s="4"/>
      <c r="DZ203" s="4"/>
      <c r="EA203" s="4"/>
      <c r="EB203" s="4"/>
      <c r="EC203" s="4"/>
    </row>
    <row r="204" spans="1:133" s="1" customFormat="1" ht="30" customHeight="1" thickBot="1" x14ac:dyDescent="0.35">
      <c r="A204" s="7"/>
      <c r="B204" s="111" t="s">
        <v>163</v>
      </c>
      <c r="C204" s="112" t="s">
        <v>246</v>
      </c>
      <c r="D204" s="113"/>
      <c r="E204" s="114">
        <v>46348</v>
      </c>
      <c r="F204" s="114">
        <v>46348</v>
      </c>
      <c r="G204" s="31">
        <f t="shared" si="56"/>
        <v>1</v>
      </c>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118"/>
      <c r="AM204" s="4"/>
      <c r="AN204" s="4"/>
      <c r="AO204" s="4"/>
      <c r="AP204" s="4"/>
      <c r="AQ204" s="135"/>
      <c r="AR204" s="4"/>
      <c r="AS204" s="4"/>
      <c r="AT204" s="4"/>
      <c r="AU204" s="4"/>
      <c r="AV204" s="4"/>
      <c r="AW204" s="4"/>
      <c r="AX204" s="4"/>
      <c r="AY204" s="4"/>
      <c r="AZ204" s="4"/>
      <c r="BA204" s="4"/>
      <c r="BB204" s="4"/>
      <c r="BC204" s="135"/>
      <c r="BD204" s="4"/>
      <c r="BE204" s="4"/>
      <c r="BF204" s="4"/>
      <c r="BG204" s="4"/>
      <c r="BH204" s="4"/>
      <c r="BI204" s="4"/>
      <c r="BJ204" s="4"/>
      <c r="BK204" s="4"/>
      <c r="BL204" s="4"/>
      <c r="BM204" s="4"/>
      <c r="BN204" s="4"/>
      <c r="BO204" s="135"/>
      <c r="BP204" s="135"/>
      <c r="BQ204" s="135"/>
      <c r="BR204" s="4"/>
      <c r="BS204" s="4"/>
      <c r="BT204" s="118"/>
      <c r="BU204" s="4"/>
      <c r="BV204" s="4"/>
      <c r="BW204" s="4"/>
      <c r="BX204" s="4"/>
      <c r="BY204" s="4"/>
      <c r="BZ204" s="4"/>
      <c r="CA204" s="118"/>
      <c r="CB204" s="4"/>
      <c r="CC204" s="4"/>
      <c r="CD204" s="4"/>
      <c r="CE204" s="135"/>
      <c r="CF204" s="135"/>
      <c r="CG204" s="135"/>
      <c r="CH204" s="135"/>
      <c r="CI204" s="135"/>
      <c r="CJ204" s="135"/>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118"/>
      <c r="DU204" s="4"/>
      <c r="DV204" s="4"/>
      <c r="DW204" s="4"/>
      <c r="DX204" s="4"/>
      <c r="DY204" s="4"/>
      <c r="DZ204" s="4"/>
      <c r="EA204" s="4"/>
      <c r="EB204" s="4"/>
      <c r="EC204" s="4"/>
    </row>
    <row r="205" spans="1:133" s="1" customFormat="1" ht="30" customHeight="1" thickBot="1" x14ac:dyDescent="0.35">
      <c r="A205" s="7"/>
      <c r="B205" s="111" t="s">
        <v>171</v>
      </c>
      <c r="C205" s="112" t="s">
        <v>246</v>
      </c>
      <c r="D205" s="113"/>
      <c r="E205" s="114">
        <v>46348</v>
      </c>
      <c r="F205" s="114">
        <v>46348</v>
      </c>
      <c r="G205" s="31">
        <f t="shared" si="56"/>
        <v>1</v>
      </c>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118"/>
      <c r="AM205" s="4"/>
      <c r="AN205" s="4"/>
      <c r="AO205" s="4"/>
      <c r="AP205" s="4"/>
      <c r="AQ205" s="135"/>
      <c r="AR205" s="4"/>
      <c r="AS205" s="4"/>
      <c r="AT205" s="4"/>
      <c r="AU205" s="4"/>
      <c r="AV205" s="4"/>
      <c r="AW205" s="4"/>
      <c r="AX205" s="4"/>
      <c r="AY205" s="4"/>
      <c r="AZ205" s="4"/>
      <c r="BA205" s="4"/>
      <c r="BB205" s="4"/>
      <c r="BC205" s="135"/>
      <c r="BD205" s="4"/>
      <c r="BE205" s="4"/>
      <c r="BF205" s="4"/>
      <c r="BG205" s="4"/>
      <c r="BH205" s="4"/>
      <c r="BI205" s="4"/>
      <c r="BJ205" s="4"/>
      <c r="BK205" s="4"/>
      <c r="BL205" s="4"/>
      <c r="BM205" s="4"/>
      <c r="BN205" s="4"/>
      <c r="BO205" s="135"/>
      <c r="BP205" s="135"/>
      <c r="BQ205" s="135"/>
      <c r="BR205" s="4"/>
      <c r="BS205" s="4"/>
      <c r="BT205" s="118"/>
      <c r="BU205" s="4"/>
      <c r="BV205" s="4"/>
      <c r="BW205" s="4"/>
      <c r="BX205" s="4"/>
      <c r="BY205" s="4"/>
      <c r="BZ205" s="4"/>
      <c r="CA205" s="118"/>
      <c r="CB205" s="4"/>
      <c r="CC205" s="4"/>
      <c r="CD205" s="4"/>
      <c r="CE205" s="135"/>
      <c r="CF205" s="135"/>
      <c r="CG205" s="135"/>
      <c r="CH205" s="135"/>
      <c r="CI205" s="135"/>
      <c r="CJ205" s="135"/>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118"/>
      <c r="DU205" s="4"/>
      <c r="DV205" s="4"/>
      <c r="DW205" s="4"/>
      <c r="DX205" s="4"/>
      <c r="DY205" s="4"/>
      <c r="DZ205" s="4"/>
      <c r="EA205" s="4"/>
      <c r="EB205" s="4"/>
      <c r="EC205" s="4"/>
    </row>
    <row r="206" spans="1:133" s="1" customFormat="1" ht="30" customHeight="1" thickBot="1" x14ac:dyDescent="0.35">
      <c r="A206" s="7"/>
      <c r="B206" s="111" t="s">
        <v>172</v>
      </c>
      <c r="C206" s="112" t="s">
        <v>246</v>
      </c>
      <c r="D206" s="113"/>
      <c r="E206" s="114">
        <v>46349</v>
      </c>
      <c r="F206" s="114">
        <v>46349</v>
      </c>
      <c r="G206" s="31">
        <f t="shared" si="56"/>
        <v>1</v>
      </c>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118"/>
      <c r="AM206" s="4"/>
      <c r="AN206" s="4"/>
      <c r="AO206" s="4"/>
      <c r="AP206" s="4"/>
      <c r="AQ206" s="135"/>
      <c r="AR206" s="4"/>
      <c r="AS206" s="4"/>
      <c r="AT206" s="4"/>
      <c r="AU206" s="4"/>
      <c r="AV206" s="4"/>
      <c r="AW206" s="4"/>
      <c r="AX206" s="4"/>
      <c r="AY206" s="4"/>
      <c r="AZ206" s="4"/>
      <c r="BA206" s="4"/>
      <c r="BB206" s="4"/>
      <c r="BC206" s="135"/>
      <c r="BD206" s="4"/>
      <c r="BE206" s="4"/>
      <c r="BF206" s="4"/>
      <c r="BG206" s="4"/>
      <c r="BH206" s="4"/>
      <c r="BI206" s="4"/>
      <c r="BJ206" s="4"/>
      <c r="BK206" s="4"/>
      <c r="BL206" s="4"/>
      <c r="BM206" s="4"/>
      <c r="BN206" s="4"/>
      <c r="BO206" s="135"/>
      <c r="BP206" s="135"/>
      <c r="BQ206" s="135"/>
      <c r="BR206" s="4"/>
      <c r="BS206" s="4"/>
      <c r="BT206" s="118"/>
      <c r="BU206" s="4"/>
      <c r="BV206" s="4"/>
      <c r="BW206" s="4"/>
      <c r="BX206" s="4"/>
      <c r="BY206" s="4"/>
      <c r="BZ206" s="4"/>
      <c r="CA206" s="118"/>
      <c r="CB206" s="4"/>
      <c r="CC206" s="4"/>
      <c r="CD206" s="4"/>
      <c r="CE206" s="135"/>
      <c r="CF206" s="135"/>
      <c r="CG206" s="135"/>
      <c r="CH206" s="135"/>
      <c r="CI206" s="135"/>
      <c r="CJ206" s="135"/>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118"/>
      <c r="DU206" s="4"/>
      <c r="DV206" s="4"/>
      <c r="DW206" s="4"/>
      <c r="DX206" s="4"/>
      <c r="DY206" s="4"/>
      <c r="DZ206" s="4"/>
      <c r="EA206" s="4"/>
      <c r="EB206" s="4"/>
      <c r="EC206" s="4"/>
    </row>
    <row r="207" spans="1:133" s="1" customFormat="1" ht="30" customHeight="1" thickBot="1" x14ac:dyDescent="0.35">
      <c r="A207" s="7"/>
      <c r="B207" s="111" t="s">
        <v>176</v>
      </c>
      <c r="C207" s="112" t="s">
        <v>246</v>
      </c>
      <c r="D207" s="113"/>
      <c r="E207" s="114">
        <v>46349</v>
      </c>
      <c r="F207" s="114">
        <v>46349</v>
      </c>
      <c r="G207" s="31">
        <f t="shared" si="56"/>
        <v>1</v>
      </c>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118"/>
      <c r="AM207" s="4"/>
      <c r="AN207" s="4"/>
      <c r="AO207" s="4"/>
      <c r="AP207" s="4"/>
      <c r="AQ207" s="135"/>
      <c r="AR207" s="4"/>
      <c r="AS207" s="4"/>
      <c r="AT207" s="4"/>
      <c r="AU207" s="4"/>
      <c r="AV207" s="4"/>
      <c r="AW207" s="4"/>
      <c r="AX207" s="4"/>
      <c r="AY207" s="4"/>
      <c r="AZ207" s="4"/>
      <c r="BA207" s="4"/>
      <c r="BB207" s="4"/>
      <c r="BC207" s="135"/>
      <c r="BD207" s="4"/>
      <c r="BE207" s="4"/>
      <c r="BF207" s="4"/>
      <c r="BG207" s="4"/>
      <c r="BH207" s="4"/>
      <c r="BI207" s="4"/>
      <c r="BJ207" s="4"/>
      <c r="BK207" s="4"/>
      <c r="BL207" s="4"/>
      <c r="BM207" s="4"/>
      <c r="BN207" s="4"/>
      <c r="BO207" s="135"/>
      <c r="BP207" s="135"/>
      <c r="BQ207" s="135"/>
      <c r="BR207" s="4"/>
      <c r="BS207" s="4"/>
      <c r="BT207" s="118"/>
      <c r="BU207" s="4"/>
      <c r="BV207" s="4"/>
      <c r="BW207" s="4"/>
      <c r="BX207" s="4"/>
      <c r="BY207" s="4"/>
      <c r="BZ207" s="4"/>
      <c r="CA207" s="118"/>
      <c r="CB207" s="4"/>
      <c r="CC207" s="4"/>
      <c r="CD207" s="4"/>
      <c r="CE207" s="135"/>
      <c r="CF207" s="135"/>
      <c r="CG207" s="135"/>
      <c r="CH207" s="135"/>
      <c r="CI207" s="135"/>
      <c r="CJ207" s="135"/>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118"/>
      <c r="DU207" s="4"/>
      <c r="DV207" s="4"/>
      <c r="DW207" s="4"/>
      <c r="DX207" s="4"/>
      <c r="DY207" s="4"/>
      <c r="DZ207" s="4"/>
      <c r="EA207" s="4"/>
      <c r="EB207" s="4"/>
      <c r="EC207" s="4"/>
    </row>
    <row r="208" spans="1:133" s="1" customFormat="1" ht="30" customHeight="1" thickBot="1" x14ac:dyDescent="0.35">
      <c r="A208" s="7"/>
      <c r="B208" s="111" t="s">
        <v>177</v>
      </c>
      <c r="C208" s="112" t="s">
        <v>246</v>
      </c>
      <c r="D208" s="113"/>
      <c r="E208" s="114">
        <v>46349</v>
      </c>
      <c r="F208" s="114">
        <v>46349</v>
      </c>
      <c r="G208" s="31">
        <f t="shared" si="56"/>
        <v>1</v>
      </c>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118"/>
      <c r="AM208" s="4"/>
      <c r="AN208" s="4"/>
      <c r="AO208" s="4"/>
      <c r="AP208" s="4"/>
      <c r="AQ208" s="135"/>
      <c r="AR208" s="4"/>
      <c r="AS208" s="4"/>
      <c r="AT208" s="4"/>
      <c r="AU208" s="4"/>
      <c r="AV208" s="4"/>
      <c r="AW208" s="4"/>
      <c r="AX208" s="4"/>
      <c r="AY208" s="4"/>
      <c r="AZ208" s="4"/>
      <c r="BA208" s="4"/>
      <c r="BB208" s="4"/>
      <c r="BC208" s="135"/>
      <c r="BD208" s="4"/>
      <c r="BE208" s="4"/>
      <c r="BF208" s="4"/>
      <c r="BG208" s="4"/>
      <c r="BH208" s="4"/>
      <c r="BI208" s="4"/>
      <c r="BJ208" s="4"/>
      <c r="BK208" s="4"/>
      <c r="BL208" s="4"/>
      <c r="BM208" s="4"/>
      <c r="BN208" s="4"/>
      <c r="BO208" s="135"/>
      <c r="BP208" s="135"/>
      <c r="BQ208" s="135"/>
      <c r="BR208" s="4"/>
      <c r="BS208" s="4"/>
      <c r="BT208" s="118"/>
      <c r="BU208" s="4"/>
      <c r="BV208" s="4"/>
      <c r="BW208" s="4"/>
      <c r="BX208" s="4"/>
      <c r="BY208" s="4"/>
      <c r="BZ208" s="4"/>
      <c r="CA208" s="118"/>
      <c r="CB208" s="4"/>
      <c r="CC208" s="4"/>
      <c r="CD208" s="4"/>
      <c r="CE208" s="135"/>
      <c r="CF208" s="135"/>
      <c r="CG208" s="135"/>
      <c r="CH208" s="135"/>
      <c r="CI208" s="135"/>
      <c r="CJ208" s="135"/>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118"/>
      <c r="DU208" s="4"/>
      <c r="DV208" s="4"/>
      <c r="DW208" s="4"/>
      <c r="DX208" s="4"/>
      <c r="DY208" s="4"/>
      <c r="DZ208" s="4"/>
      <c r="EA208" s="4"/>
      <c r="EB208" s="4"/>
      <c r="EC208" s="4"/>
    </row>
    <row r="209" spans="1:133" s="1" customFormat="1" ht="30" customHeight="1" thickBot="1" x14ac:dyDescent="0.35">
      <c r="A209" s="7"/>
      <c r="B209" s="111" t="s">
        <v>178</v>
      </c>
      <c r="C209" s="112" t="s">
        <v>246</v>
      </c>
      <c r="D209" s="113"/>
      <c r="E209" s="114">
        <v>46350</v>
      </c>
      <c r="F209" s="114">
        <v>46350</v>
      </c>
      <c r="G209" s="31">
        <f t="shared" si="56"/>
        <v>1</v>
      </c>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118"/>
      <c r="AM209" s="4"/>
      <c r="AN209" s="4"/>
      <c r="AO209" s="4"/>
      <c r="AP209" s="4"/>
      <c r="AQ209" s="135"/>
      <c r="AR209" s="4"/>
      <c r="AS209" s="4"/>
      <c r="AT209" s="4"/>
      <c r="AU209" s="4"/>
      <c r="AV209" s="4"/>
      <c r="AW209" s="4"/>
      <c r="AX209" s="4"/>
      <c r="AY209" s="4"/>
      <c r="AZ209" s="4"/>
      <c r="BA209" s="4"/>
      <c r="BB209" s="4"/>
      <c r="BC209" s="135"/>
      <c r="BD209" s="4"/>
      <c r="BE209" s="4"/>
      <c r="BF209" s="4"/>
      <c r="BG209" s="4"/>
      <c r="BH209" s="4"/>
      <c r="BI209" s="4"/>
      <c r="BJ209" s="4"/>
      <c r="BK209" s="4"/>
      <c r="BL209" s="4"/>
      <c r="BM209" s="4"/>
      <c r="BN209" s="4"/>
      <c r="BO209" s="135"/>
      <c r="BP209" s="135"/>
      <c r="BQ209" s="135"/>
      <c r="BR209" s="4"/>
      <c r="BS209" s="4"/>
      <c r="BT209" s="118"/>
      <c r="BU209" s="4"/>
      <c r="BV209" s="4"/>
      <c r="BW209" s="4"/>
      <c r="BX209" s="4"/>
      <c r="BY209" s="4"/>
      <c r="BZ209" s="4"/>
      <c r="CA209" s="118"/>
      <c r="CB209" s="4"/>
      <c r="CC209" s="4"/>
      <c r="CD209" s="4"/>
      <c r="CE209" s="135"/>
      <c r="CF209" s="135"/>
      <c r="CG209" s="135"/>
      <c r="CH209" s="135"/>
      <c r="CI209" s="135"/>
      <c r="CJ209" s="135"/>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118"/>
      <c r="DU209" s="4"/>
      <c r="DV209" s="4"/>
      <c r="DW209" s="4"/>
      <c r="DX209" s="4"/>
      <c r="DY209" s="4"/>
      <c r="DZ209" s="4"/>
      <c r="EA209" s="4"/>
      <c r="EB209" s="4"/>
      <c r="EC209" s="4"/>
    </row>
    <row r="210" spans="1:133" s="1" customFormat="1" ht="30" customHeight="1" thickBot="1" x14ac:dyDescent="0.35">
      <c r="A210" s="7"/>
      <c r="B210" s="111" t="s">
        <v>179</v>
      </c>
      <c r="C210" s="112" t="s">
        <v>246</v>
      </c>
      <c r="D210" s="113"/>
      <c r="E210" s="114">
        <v>46350</v>
      </c>
      <c r="F210" s="114">
        <v>46350</v>
      </c>
      <c r="G210" s="31">
        <f t="shared" si="56"/>
        <v>1</v>
      </c>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118"/>
      <c r="AM210" s="4"/>
      <c r="AN210" s="4"/>
      <c r="AO210" s="4"/>
      <c r="AP210" s="4"/>
      <c r="AQ210" s="135"/>
      <c r="AR210" s="4"/>
      <c r="AS210" s="4"/>
      <c r="AT210" s="4"/>
      <c r="AU210" s="4"/>
      <c r="AV210" s="4"/>
      <c r="AW210" s="4"/>
      <c r="AX210" s="4"/>
      <c r="AY210" s="4"/>
      <c r="AZ210" s="4"/>
      <c r="BA210" s="4"/>
      <c r="BB210" s="4"/>
      <c r="BC210" s="135"/>
      <c r="BD210" s="4"/>
      <c r="BE210" s="4"/>
      <c r="BF210" s="4"/>
      <c r="BG210" s="4"/>
      <c r="BH210" s="4"/>
      <c r="BI210" s="4"/>
      <c r="BJ210" s="4"/>
      <c r="BK210" s="4"/>
      <c r="BL210" s="4"/>
      <c r="BM210" s="4"/>
      <c r="BN210" s="4"/>
      <c r="BO210" s="135"/>
      <c r="BP210" s="135"/>
      <c r="BQ210" s="135"/>
      <c r="BR210" s="4"/>
      <c r="BS210" s="4"/>
      <c r="BT210" s="118"/>
      <c r="BU210" s="4"/>
      <c r="BV210" s="4"/>
      <c r="BW210" s="4"/>
      <c r="BX210" s="4"/>
      <c r="BY210" s="4"/>
      <c r="BZ210" s="4"/>
      <c r="CA210" s="118"/>
      <c r="CB210" s="4"/>
      <c r="CC210" s="4"/>
      <c r="CD210" s="4"/>
      <c r="CE210" s="135"/>
      <c r="CF210" s="135"/>
      <c r="CG210" s="135"/>
      <c r="CH210" s="135"/>
      <c r="CI210" s="135"/>
      <c r="CJ210" s="135"/>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118"/>
      <c r="DU210" s="4"/>
      <c r="DV210" s="4"/>
      <c r="DW210" s="4"/>
      <c r="DX210" s="4"/>
      <c r="DY210" s="4"/>
      <c r="DZ210" s="4"/>
      <c r="EA210" s="4"/>
      <c r="EB210" s="4"/>
      <c r="EC210" s="4"/>
    </row>
    <row r="211" spans="1:133" s="1" customFormat="1" ht="30" customHeight="1" thickBot="1" x14ac:dyDescent="0.35">
      <c r="A211" s="7"/>
      <c r="B211" s="106" t="s">
        <v>181</v>
      </c>
      <c r="C211" s="107"/>
      <c r="D211" s="108"/>
      <c r="E211" s="109"/>
      <c r="F211" s="110"/>
      <c r="G211" s="31" t="str">
        <f t="shared" si="56"/>
        <v/>
      </c>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118"/>
      <c r="AM211" s="4"/>
      <c r="AN211" s="4"/>
      <c r="AO211" s="4"/>
      <c r="AP211" s="4"/>
      <c r="AQ211" s="135"/>
      <c r="AR211" s="4"/>
      <c r="AS211" s="4"/>
      <c r="AT211" s="4"/>
      <c r="AU211" s="4"/>
      <c r="AV211" s="4"/>
      <c r="AW211" s="4"/>
      <c r="AX211" s="4"/>
      <c r="AY211" s="4"/>
      <c r="AZ211" s="4"/>
      <c r="BA211" s="4"/>
      <c r="BB211" s="4"/>
      <c r="BC211" s="135"/>
      <c r="BD211" s="4"/>
      <c r="BE211" s="4"/>
      <c r="BF211" s="4"/>
      <c r="BG211" s="4"/>
      <c r="BH211" s="4"/>
      <c r="BI211" s="4"/>
      <c r="BJ211" s="4"/>
      <c r="BK211" s="4"/>
      <c r="BL211" s="4"/>
      <c r="BM211" s="4"/>
      <c r="BN211" s="4"/>
      <c r="BO211" s="135"/>
      <c r="BP211" s="135"/>
      <c r="BQ211" s="135"/>
      <c r="BR211" s="4"/>
      <c r="BS211" s="4"/>
      <c r="BT211" s="118"/>
      <c r="BU211" s="4"/>
      <c r="BV211" s="4"/>
      <c r="BW211" s="4"/>
      <c r="BX211" s="4"/>
      <c r="BY211" s="4"/>
      <c r="BZ211" s="4"/>
      <c r="CA211" s="118"/>
      <c r="CB211" s="4"/>
      <c r="CC211" s="4"/>
      <c r="CD211" s="4"/>
      <c r="CE211" s="135"/>
      <c r="CF211" s="135"/>
      <c r="CG211" s="135"/>
      <c r="CH211" s="135"/>
      <c r="CI211" s="135"/>
      <c r="CJ211" s="135"/>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118"/>
      <c r="DU211" s="4"/>
      <c r="DV211" s="4"/>
      <c r="DW211" s="4"/>
      <c r="DX211" s="4"/>
      <c r="DY211" s="4"/>
      <c r="DZ211" s="4"/>
      <c r="EA211" s="4"/>
      <c r="EB211" s="4"/>
      <c r="EC211" s="4"/>
    </row>
    <row r="212" spans="1:133" s="1" customFormat="1" ht="30" customHeight="1" thickBot="1" x14ac:dyDescent="0.35">
      <c r="A212" s="7"/>
      <c r="B212" s="111" t="s">
        <v>187</v>
      </c>
      <c r="C212" s="112" t="s">
        <v>246</v>
      </c>
      <c r="D212" s="113"/>
      <c r="E212" s="114">
        <v>46351</v>
      </c>
      <c r="F212" s="114">
        <v>46351</v>
      </c>
      <c r="G212" s="31">
        <f t="shared" si="56"/>
        <v>1</v>
      </c>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118"/>
      <c r="AM212" s="4"/>
      <c r="AN212" s="4"/>
      <c r="AO212" s="4"/>
      <c r="AP212" s="4"/>
      <c r="AQ212" s="135"/>
      <c r="AR212" s="4"/>
      <c r="AS212" s="4"/>
      <c r="AT212" s="4"/>
      <c r="AU212" s="4"/>
      <c r="AV212" s="4"/>
      <c r="AW212" s="4"/>
      <c r="AX212" s="4"/>
      <c r="AY212" s="4"/>
      <c r="AZ212" s="4"/>
      <c r="BA212" s="4"/>
      <c r="BB212" s="4"/>
      <c r="BC212" s="135"/>
      <c r="BD212" s="4"/>
      <c r="BE212" s="4"/>
      <c r="BF212" s="4"/>
      <c r="BG212" s="4"/>
      <c r="BH212" s="4"/>
      <c r="BI212" s="4"/>
      <c r="BJ212" s="4"/>
      <c r="BK212" s="4"/>
      <c r="BL212" s="4"/>
      <c r="BM212" s="4"/>
      <c r="BN212" s="4"/>
      <c r="BO212" s="135"/>
      <c r="BP212" s="135"/>
      <c r="BQ212" s="135"/>
      <c r="BR212" s="4"/>
      <c r="BS212" s="4"/>
      <c r="BT212" s="118"/>
      <c r="BU212" s="4"/>
      <c r="BV212" s="4"/>
      <c r="BW212" s="4"/>
      <c r="BX212" s="4"/>
      <c r="BY212" s="4"/>
      <c r="BZ212" s="4"/>
      <c r="CA212" s="118"/>
      <c r="CB212" s="4"/>
      <c r="CC212" s="4"/>
      <c r="CD212" s="4"/>
      <c r="CE212" s="135"/>
      <c r="CF212" s="135"/>
      <c r="CG212" s="135"/>
      <c r="CH212" s="135"/>
      <c r="CI212" s="135"/>
      <c r="CJ212" s="135"/>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118"/>
      <c r="DU212" s="4"/>
      <c r="DV212" s="4"/>
      <c r="DW212" s="4"/>
      <c r="DX212" s="4"/>
      <c r="DY212" s="4"/>
      <c r="DZ212" s="4"/>
      <c r="EA212" s="4"/>
      <c r="EB212" s="4"/>
      <c r="EC212" s="4"/>
    </row>
    <row r="213" spans="1:133" s="1" customFormat="1" ht="30" customHeight="1" thickBot="1" x14ac:dyDescent="0.35">
      <c r="A213" s="7"/>
      <c r="B213" s="111" t="s">
        <v>188</v>
      </c>
      <c r="C213" s="112" t="s">
        <v>246</v>
      </c>
      <c r="D213" s="113"/>
      <c r="E213" s="114">
        <v>46351</v>
      </c>
      <c r="F213" s="114">
        <v>46351</v>
      </c>
      <c r="G213" s="31">
        <f t="shared" si="56"/>
        <v>1</v>
      </c>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118"/>
      <c r="AM213" s="4"/>
      <c r="AN213" s="4"/>
      <c r="AO213" s="4"/>
      <c r="AP213" s="4"/>
      <c r="AQ213" s="135"/>
      <c r="AR213" s="4"/>
      <c r="AS213" s="4"/>
      <c r="AT213" s="4"/>
      <c r="AU213" s="4"/>
      <c r="AV213" s="4"/>
      <c r="AW213" s="4"/>
      <c r="AX213" s="4"/>
      <c r="AY213" s="4"/>
      <c r="AZ213" s="4"/>
      <c r="BA213" s="4"/>
      <c r="BB213" s="4"/>
      <c r="BC213" s="135"/>
      <c r="BD213" s="4"/>
      <c r="BE213" s="4"/>
      <c r="BF213" s="4"/>
      <c r="BG213" s="4"/>
      <c r="BH213" s="4"/>
      <c r="BI213" s="4"/>
      <c r="BJ213" s="4"/>
      <c r="BK213" s="4"/>
      <c r="BL213" s="4"/>
      <c r="BM213" s="4"/>
      <c r="BN213" s="4"/>
      <c r="BO213" s="135"/>
      <c r="BP213" s="135"/>
      <c r="BQ213" s="135"/>
      <c r="BR213" s="4"/>
      <c r="BS213" s="4"/>
      <c r="BT213" s="118"/>
      <c r="BU213" s="4"/>
      <c r="BV213" s="4"/>
      <c r="BW213" s="4"/>
      <c r="BX213" s="4"/>
      <c r="BY213" s="4"/>
      <c r="BZ213" s="4"/>
      <c r="CA213" s="118"/>
      <c r="CB213" s="4"/>
      <c r="CC213" s="4"/>
      <c r="CD213" s="4"/>
      <c r="CE213" s="135"/>
      <c r="CF213" s="135"/>
      <c r="CG213" s="135"/>
      <c r="CH213" s="135"/>
      <c r="CI213" s="135"/>
      <c r="CJ213" s="135"/>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118"/>
      <c r="DU213" s="4"/>
      <c r="DV213" s="4"/>
      <c r="DW213" s="4"/>
      <c r="DX213" s="4"/>
      <c r="DY213" s="4"/>
      <c r="DZ213" s="4"/>
      <c r="EA213" s="4"/>
      <c r="EB213" s="4"/>
      <c r="EC213" s="4"/>
    </row>
    <row r="214" spans="1:133" s="1" customFormat="1" ht="30" customHeight="1" thickBot="1" x14ac:dyDescent="0.35">
      <c r="A214" s="7"/>
      <c r="B214" s="111" t="s">
        <v>195</v>
      </c>
      <c r="C214" s="112" t="s">
        <v>246</v>
      </c>
      <c r="D214" s="113"/>
      <c r="E214" s="114">
        <v>46351</v>
      </c>
      <c r="F214" s="114">
        <v>46351</v>
      </c>
      <c r="G214" s="31">
        <v>1</v>
      </c>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118"/>
      <c r="AM214" s="4"/>
      <c r="AN214" s="4"/>
      <c r="AO214" s="4"/>
      <c r="AP214" s="4"/>
      <c r="AQ214" s="135"/>
      <c r="AR214" s="4"/>
      <c r="AS214" s="4"/>
      <c r="AT214" s="4"/>
      <c r="AU214" s="4"/>
      <c r="AV214" s="4"/>
      <c r="AW214" s="4"/>
      <c r="AX214" s="4"/>
      <c r="AY214" s="4"/>
      <c r="AZ214" s="4"/>
      <c r="BA214" s="4"/>
      <c r="BB214" s="4"/>
      <c r="BC214" s="135"/>
      <c r="BD214" s="4"/>
      <c r="BE214" s="4"/>
      <c r="BF214" s="4"/>
      <c r="BG214" s="4"/>
      <c r="BH214" s="4"/>
      <c r="BI214" s="4"/>
      <c r="BJ214" s="4"/>
      <c r="BK214" s="4"/>
      <c r="BL214" s="4"/>
      <c r="BM214" s="4"/>
      <c r="BN214" s="4"/>
      <c r="BO214" s="135"/>
      <c r="BP214" s="135"/>
      <c r="BQ214" s="135"/>
      <c r="BR214" s="4"/>
      <c r="BS214" s="4"/>
      <c r="BT214" s="118"/>
      <c r="BU214" s="4"/>
      <c r="BV214" s="4"/>
      <c r="BW214" s="4"/>
      <c r="BX214" s="4"/>
      <c r="BY214" s="4"/>
      <c r="BZ214" s="4"/>
      <c r="CA214" s="118"/>
      <c r="CB214" s="4"/>
      <c r="CC214" s="4"/>
      <c r="CD214" s="4"/>
      <c r="CE214" s="135"/>
      <c r="CF214" s="135"/>
      <c r="CG214" s="135"/>
      <c r="CH214" s="135"/>
      <c r="CI214" s="135"/>
      <c r="CJ214" s="135"/>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118"/>
      <c r="DU214" s="4"/>
      <c r="DV214" s="4"/>
      <c r="DW214" s="4"/>
      <c r="DX214" s="4"/>
      <c r="DY214" s="4"/>
      <c r="DZ214" s="4"/>
      <c r="EA214" s="4"/>
      <c r="EB214" s="4"/>
      <c r="EC214" s="4"/>
    </row>
    <row r="215" spans="1:133" s="1" customFormat="1" ht="30" customHeight="1" thickBot="1" x14ac:dyDescent="0.35">
      <c r="A215" s="7"/>
      <c r="B215" s="111" t="s">
        <v>189</v>
      </c>
      <c r="C215" s="112" t="s">
        <v>246</v>
      </c>
      <c r="D215" s="113"/>
      <c r="E215" s="114">
        <v>46355</v>
      </c>
      <c r="F215" s="114">
        <v>46355</v>
      </c>
      <c r="G215" s="31">
        <f t="shared" si="56"/>
        <v>1</v>
      </c>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118"/>
      <c r="AM215" s="4"/>
      <c r="AN215" s="4"/>
      <c r="AO215" s="4"/>
      <c r="AP215" s="4"/>
      <c r="AQ215" s="135"/>
      <c r="AR215" s="4"/>
      <c r="AS215" s="4"/>
      <c r="AT215" s="4"/>
      <c r="AU215" s="4"/>
      <c r="AV215" s="4"/>
      <c r="AW215" s="4"/>
      <c r="AX215" s="4"/>
      <c r="AY215" s="4"/>
      <c r="AZ215" s="4"/>
      <c r="BA215" s="4"/>
      <c r="BB215" s="4"/>
      <c r="BC215" s="135"/>
      <c r="BD215" s="4"/>
      <c r="BE215" s="4"/>
      <c r="BF215" s="4"/>
      <c r="BG215" s="4"/>
      <c r="BH215" s="4"/>
      <c r="BI215" s="4"/>
      <c r="BJ215" s="4"/>
      <c r="BK215" s="4"/>
      <c r="BL215" s="4"/>
      <c r="BM215" s="4"/>
      <c r="BN215" s="4"/>
      <c r="BO215" s="135"/>
      <c r="BP215" s="135"/>
      <c r="BQ215" s="135"/>
      <c r="BR215" s="4"/>
      <c r="BS215" s="4"/>
      <c r="BT215" s="118"/>
      <c r="BU215" s="4"/>
      <c r="BV215" s="4"/>
      <c r="BW215" s="4"/>
      <c r="BX215" s="4"/>
      <c r="BY215" s="4"/>
      <c r="BZ215" s="4"/>
      <c r="CA215" s="118"/>
      <c r="CB215" s="4"/>
      <c r="CC215" s="4"/>
      <c r="CD215" s="4"/>
      <c r="CE215" s="135"/>
      <c r="CF215" s="135"/>
      <c r="CG215" s="135"/>
      <c r="CH215" s="135"/>
      <c r="CI215" s="135"/>
      <c r="CJ215" s="135"/>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118"/>
      <c r="DU215" s="4"/>
      <c r="DV215" s="4"/>
      <c r="DW215" s="4"/>
      <c r="DX215" s="4"/>
      <c r="DY215" s="4"/>
      <c r="DZ215" s="4"/>
      <c r="EA215" s="4"/>
      <c r="EB215" s="4"/>
      <c r="EC215" s="4"/>
    </row>
    <row r="216" spans="1:133" s="1" customFormat="1" ht="30" customHeight="1" thickBot="1" x14ac:dyDescent="0.35">
      <c r="A216" s="7"/>
      <c r="B216" s="111" t="s">
        <v>190</v>
      </c>
      <c r="C216" s="112" t="s">
        <v>246</v>
      </c>
      <c r="D216" s="113"/>
      <c r="E216" s="114">
        <v>46355</v>
      </c>
      <c r="F216" s="114">
        <v>46355</v>
      </c>
      <c r="G216" s="31">
        <f t="shared" si="56"/>
        <v>1</v>
      </c>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118"/>
      <c r="AM216" s="4"/>
      <c r="AN216" s="4"/>
      <c r="AO216" s="4"/>
      <c r="AP216" s="4"/>
      <c r="AQ216" s="135"/>
      <c r="AR216" s="4"/>
      <c r="AS216" s="4"/>
      <c r="AT216" s="4"/>
      <c r="AU216" s="4"/>
      <c r="AV216" s="4"/>
      <c r="AW216" s="4"/>
      <c r="AX216" s="4"/>
      <c r="AY216" s="4"/>
      <c r="AZ216" s="4"/>
      <c r="BA216" s="4"/>
      <c r="BB216" s="4"/>
      <c r="BC216" s="135"/>
      <c r="BD216" s="4"/>
      <c r="BE216" s="4"/>
      <c r="BF216" s="4"/>
      <c r="BG216" s="4"/>
      <c r="BH216" s="4"/>
      <c r="BI216" s="4"/>
      <c r="BJ216" s="4"/>
      <c r="BK216" s="4"/>
      <c r="BL216" s="4"/>
      <c r="BM216" s="4"/>
      <c r="BN216" s="4"/>
      <c r="BO216" s="135"/>
      <c r="BP216" s="135"/>
      <c r="BQ216" s="135"/>
      <c r="BR216" s="4"/>
      <c r="BS216" s="4"/>
      <c r="BT216" s="118"/>
      <c r="BU216" s="4"/>
      <c r="BV216" s="4"/>
      <c r="BW216" s="4"/>
      <c r="BX216" s="4"/>
      <c r="BY216" s="4"/>
      <c r="BZ216" s="4"/>
      <c r="CA216" s="118"/>
      <c r="CB216" s="4"/>
      <c r="CC216" s="4"/>
      <c r="CD216" s="4"/>
      <c r="CE216" s="135"/>
      <c r="CF216" s="135"/>
      <c r="CG216" s="135"/>
      <c r="CH216" s="135"/>
      <c r="CI216" s="135"/>
      <c r="CJ216" s="135"/>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118"/>
      <c r="DU216" s="4"/>
      <c r="DV216" s="4"/>
      <c r="DW216" s="4"/>
      <c r="DX216" s="4"/>
      <c r="DY216" s="4"/>
      <c r="DZ216" s="4"/>
      <c r="EA216" s="4"/>
      <c r="EB216" s="4"/>
      <c r="EC216" s="4"/>
    </row>
    <row r="217" spans="1:133" s="1" customFormat="1" ht="30" customHeight="1" thickBot="1" x14ac:dyDescent="0.35">
      <c r="A217" s="7"/>
      <c r="B217" s="111" t="s">
        <v>191</v>
      </c>
      <c r="C217" s="112" t="s">
        <v>246</v>
      </c>
      <c r="D217" s="113"/>
      <c r="E217" s="114">
        <v>46355</v>
      </c>
      <c r="F217" s="114">
        <v>46355</v>
      </c>
      <c r="G217" s="31">
        <f t="shared" si="56"/>
        <v>1</v>
      </c>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118"/>
      <c r="AM217" s="4"/>
      <c r="AN217" s="4"/>
      <c r="AO217" s="4"/>
      <c r="AP217" s="4"/>
      <c r="AQ217" s="135"/>
      <c r="AR217" s="4"/>
      <c r="AS217" s="4"/>
      <c r="AT217" s="4"/>
      <c r="AU217" s="4"/>
      <c r="AV217" s="4"/>
      <c r="AW217" s="4"/>
      <c r="AX217" s="4"/>
      <c r="AY217" s="4"/>
      <c r="AZ217" s="4"/>
      <c r="BA217" s="4"/>
      <c r="BB217" s="4"/>
      <c r="BC217" s="135"/>
      <c r="BD217" s="4"/>
      <c r="BE217" s="4"/>
      <c r="BF217" s="4"/>
      <c r="BG217" s="4"/>
      <c r="BH217" s="4"/>
      <c r="BI217" s="4"/>
      <c r="BJ217" s="4"/>
      <c r="BK217" s="4"/>
      <c r="BL217" s="4"/>
      <c r="BM217" s="4"/>
      <c r="BN217" s="4"/>
      <c r="BO217" s="135"/>
      <c r="BP217" s="135"/>
      <c r="BQ217" s="135"/>
      <c r="BR217" s="4"/>
      <c r="BS217" s="4"/>
      <c r="BT217" s="118"/>
      <c r="BU217" s="4"/>
      <c r="BV217" s="4"/>
      <c r="BW217" s="4"/>
      <c r="BX217" s="4"/>
      <c r="BY217" s="4"/>
      <c r="BZ217" s="4"/>
      <c r="CA217" s="118"/>
      <c r="CB217" s="4"/>
      <c r="CC217" s="4"/>
      <c r="CD217" s="4"/>
      <c r="CE217" s="135"/>
      <c r="CF217" s="135"/>
      <c r="CG217" s="135"/>
      <c r="CH217" s="135"/>
      <c r="CI217" s="135"/>
      <c r="CJ217" s="135"/>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118"/>
      <c r="DU217" s="4"/>
      <c r="DV217" s="4"/>
      <c r="DW217" s="4"/>
      <c r="DX217" s="4"/>
      <c r="DY217" s="4"/>
      <c r="DZ217" s="4"/>
      <c r="EA217" s="4"/>
      <c r="EB217" s="4"/>
      <c r="EC217" s="4"/>
    </row>
    <row r="218" spans="1:133" s="1" customFormat="1" ht="30" customHeight="1" thickBot="1" x14ac:dyDescent="0.35">
      <c r="A218" s="7"/>
      <c r="B218" s="111" t="s">
        <v>192</v>
      </c>
      <c r="C218" s="112" t="s">
        <v>246</v>
      </c>
      <c r="D218" s="113"/>
      <c r="E218" s="114">
        <v>46356</v>
      </c>
      <c r="F218" s="114">
        <v>46356</v>
      </c>
      <c r="G218" s="31">
        <f t="shared" si="56"/>
        <v>1</v>
      </c>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118"/>
      <c r="AM218" s="4"/>
      <c r="AN218" s="4"/>
      <c r="AO218" s="4"/>
      <c r="AP218" s="4"/>
      <c r="AQ218" s="135"/>
      <c r="AR218" s="4"/>
      <c r="AS218" s="4"/>
      <c r="AT218" s="4"/>
      <c r="AU218" s="4"/>
      <c r="AV218" s="4"/>
      <c r="AW218" s="4"/>
      <c r="AX218" s="4"/>
      <c r="AY218" s="4"/>
      <c r="AZ218" s="4"/>
      <c r="BA218" s="4"/>
      <c r="BB218" s="4"/>
      <c r="BC218" s="135"/>
      <c r="BD218" s="4"/>
      <c r="BE218" s="4"/>
      <c r="BF218" s="4"/>
      <c r="BG218" s="4"/>
      <c r="BH218" s="4"/>
      <c r="BI218" s="4"/>
      <c r="BJ218" s="4"/>
      <c r="BK218" s="4"/>
      <c r="BL218" s="4"/>
      <c r="BM218" s="4"/>
      <c r="BN218" s="4"/>
      <c r="BO218" s="135"/>
      <c r="BP218" s="135"/>
      <c r="BQ218" s="135"/>
      <c r="BR218" s="4"/>
      <c r="BS218" s="4"/>
      <c r="BT218" s="118"/>
      <c r="BU218" s="4"/>
      <c r="BV218" s="4"/>
      <c r="BW218" s="4"/>
      <c r="BX218" s="4"/>
      <c r="BY218" s="4"/>
      <c r="BZ218" s="4"/>
      <c r="CA218" s="118"/>
      <c r="CB218" s="4"/>
      <c r="CC218" s="4"/>
      <c r="CD218" s="4"/>
      <c r="CE218" s="135"/>
      <c r="CF218" s="135"/>
      <c r="CG218" s="135"/>
      <c r="CH218" s="135"/>
      <c r="CI218" s="135"/>
      <c r="CJ218" s="135"/>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118"/>
      <c r="DU218" s="4"/>
      <c r="DV218" s="4"/>
      <c r="DW218" s="4"/>
      <c r="DX218" s="4"/>
      <c r="DY218" s="4"/>
      <c r="DZ218" s="4"/>
      <c r="EA218" s="4"/>
      <c r="EB218" s="4"/>
      <c r="EC218" s="4"/>
    </row>
    <row r="219" spans="1:133" s="1" customFormat="1" ht="30" customHeight="1" thickBot="1" x14ac:dyDescent="0.35">
      <c r="A219" s="7"/>
      <c r="B219" s="111" t="s">
        <v>193</v>
      </c>
      <c r="C219" s="112" t="s">
        <v>246</v>
      </c>
      <c r="D219" s="113"/>
      <c r="E219" s="114">
        <v>46356</v>
      </c>
      <c r="F219" s="114">
        <v>46356</v>
      </c>
      <c r="G219" s="31">
        <f t="shared" si="56"/>
        <v>1</v>
      </c>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118"/>
      <c r="AM219" s="4"/>
      <c r="AN219" s="4"/>
      <c r="AO219" s="4"/>
      <c r="AP219" s="4"/>
      <c r="AQ219" s="135"/>
      <c r="AR219" s="4"/>
      <c r="AS219" s="4"/>
      <c r="AT219" s="4"/>
      <c r="AU219" s="4"/>
      <c r="AV219" s="4"/>
      <c r="AW219" s="4"/>
      <c r="AX219" s="4"/>
      <c r="AY219" s="4"/>
      <c r="AZ219" s="4"/>
      <c r="BA219" s="4"/>
      <c r="BB219" s="4"/>
      <c r="BC219" s="135"/>
      <c r="BD219" s="4"/>
      <c r="BE219" s="4"/>
      <c r="BF219" s="4"/>
      <c r="BG219" s="4"/>
      <c r="BH219" s="4"/>
      <c r="BI219" s="4"/>
      <c r="BJ219" s="4"/>
      <c r="BK219" s="4"/>
      <c r="BL219" s="4"/>
      <c r="BM219" s="4"/>
      <c r="BN219" s="4"/>
      <c r="BO219" s="135"/>
      <c r="BP219" s="135"/>
      <c r="BQ219" s="135"/>
      <c r="BR219" s="4"/>
      <c r="BS219" s="4"/>
      <c r="BT219" s="118"/>
      <c r="BU219" s="4"/>
      <c r="BV219" s="4"/>
      <c r="BW219" s="4"/>
      <c r="BX219" s="4"/>
      <c r="BY219" s="4"/>
      <c r="BZ219" s="4"/>
      <c r="CA219" s="118"/>
      <c r="CB219" s="4"/>
      <c r="CC219" s="4"/>
      <c r="CD219" s="4"/>
      <c r="CE219" s="135"/>
      <c r="CF219" s="135"/>
      <c r="CG219" s="135"/>
      <c r="CH219" s="135"/>
      <c r="CI219" s="135"/>
      <c r="CJ219" s="135"/>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118"/>
      <c r="DU219" s="4"/>
      <c r="DV219" s="4"/>
      <c r="DW219" s="4"/>
      <c r="DX219" s="4"/>
      <c r="DY219" s="4"/>
      <c r="DZ219" s="4"/>
      <c r="EA219" s="4"/>
      <c r="EB219" s="4"/>
      <c r="EC219" s="4"/>
    </row>
    <row r="220" spans="1:133" s="1" customFormat="1" ht="30" customHeight="1" thickBot="1" x14ac:dyDescent="0.35">
      <c r="A220" s="7"/>
      <c r="B220" s="111" t="s">
        <v>182</v>
      </c>
      <c r="C220" s="112" t="s">
        <v>246</v>
      </c>
      <c r="D220" s="113"/>
      <c r="E220" s="114">
        <v>46356</v>
      </c>
      <c r="F220" s="114">
        <v>46356</v>
      </c>
      <c r="G220" s="31">
        <f t="shared" si="56"/>
        <v>1</v>
      </c>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118"/>
      <c r="AM220" s="4"/>
      <c r="AN220" s="4"/>
      <c r="AO220" s="4"/>
      <c r="AP220" s="4"/>
      <c r="AQ220" s="135"/>
      <c r="AR220" s="4"/>
      <c r="AS220" s="4"/>
      <c r="AT220" s="4"/>
      <c r="AU220" s="4"/>
      <c r="AV220" s="4"/>
      <c r="AW220" s="4"/>
      <c r="AX220" s="4"/>
      <c r="AY220" s="4"/>
      <c r="AZ220" s="4"/>
      <c r="BA220" s="4"/>
      <c r="BB220" s="4"/>
      <c r="BC220" s="135"/>
      <c r="BD220" s="4"/>
      <c r="BE220" s="4"/>
      <c r="BF220" s="4"/>
      <c r="BG220" s="4"/>
      <c r="BH220" s="4"/>
      <c r="BI220" s="4"/>
      <c r="BJ220" s="4"/>
      <c r="BK220" s="4"/>
      <c r="BL220" s="4"/>
      <c r="BM220" s="4"/>
      <c r="BN220" s="4"/>
      <c r="BO220" s="135"/>
      <c r="BP220" s="135"/>
      <c r="BQ220" s="135"/>
      <c r="BR220" s="4"/>
      <c r="BS220" s="4"/>
      <c r="BT220" s="118"/>
      <c r="BU220" s="4"/>
      <c r="BV220" s="4"/>
      <c r="BW220" s="4"/>
      <c r="BX220" s="4"/>
      <c r="BY220" s="4"/>
      <c r="BZ220" s="4"/>
      <c r="CA220" s="118"/>
      <c r="CB220" s="4"/>
      <c r="CC220" s="4"/>
      <c r="CD220" s="4"/>
      <c r="CE220" s="135"/>
      <c r="CF220" s="135"/>
      <c r="CG220" s="135"/>
      <c r="CH220" s="135"/>
      <c r="CI220" s="135"/>
      <c r="CJ220" s="135"/>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118"/>
      <c r="DU220" s="4"/>
      <c r="DV220" s="4"/>
      <c r="DW220" s="4"/>
      <c r="DX220" s="4"/>
      <c r="DY220" s="4"/>
      <c r="DZ220" s="4"/>
      <c r="EA220" s="4"/>
      <c r="EB220" s="4"/>
      <c r="EC220" s="4"/>
    </row>
    <row r="221" spans="1:133" s="1" customFormat="1" ht="30" customHeight="1" thickBot="1" x14ac:dyDescent="0.35">
      <c r="A221" s="7"/>
      <c r="B221" s="111" t="s">
        <v>183</v>
      </c>
      <c r="C221" s="112" t="s">
        <v>246</v>
      </c>
      <c r="D221" s="113"/>
      <c r="E221" s="114">
        <v>46357</v>
      </c>
      <c r="F221" s="114">
        <v>46357</v>
      </c>
      <c r="G221" s="31">
        <f t="shared" si="56"/>
        <v>1</v>
      </c>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118"/>
      <c r="AM221" s="4"/>
      <c r="AN221" s="4"/>
      <c r="AO221" s="4"/>
      <c r="AP221" s="4"/>
      <c r="AQ221" s="135"/>
      <c r="AR221" s="4"/>
      <c r="AS221" s="4"/>
      <c r="AT221" s="4"/>
      <c r="AU221" s="4"/>
      <c r="AV221" s="4"/>
      <c r="AW221" s="4"/>
      <c r="AX221" s="4"/>
      <c r="AY221" s="4"/>
      <c r="AZ221" s="4"/>
      <c r="BA221" s="4"/>
      <c r="BB221" s="4"/>
      <c r="BC221" s="135"/>
      <c r="BD221" s="4"/>
      <c r="BE221" s="4"/>
      <c r="BF221" s="4"/>
      <c r="BG221" s="4"/>
      <c r="BH221" s="4"/>
      <c r="BI221" s="4"/>
      <c r="BJ221" s="4"/>
      <c r="BK221" s="4"/>
      <c r="BL221" s="4"/>
      <c r="BM221" s="4"/>
      <c r="BN221" s="4"/>
      <c r="BO221" s="135"/>
      <c r="BP221" s="135"/>
      <c r="BQ221" s="135"/>
      <c r="BR221" s="4"/>
      <c r="BS221" s="4"/>
      <c r="BT221" s="118"/>
      <c r="BU221" s="4"/>
      <c r="BV221" s="4"/>
      <c r="BW221" s="4"/>
      <c r="BX221" s="4"/>
      <c r="BY221" s="4"/>
      <c r="BZ221" s="4"/>
      <c r="CA221" s="118"/>
      <c r="CB221" s="4"/>
      <c r="CC221" s="4"/>
      <c r="CD221" s="4"/>
      <c r="CE221" s="135"/>
      <c r="CF221" s="135"/>
      <c r="CG221" s="135"/>
      <c r="CH221" s="135"/>
      <c r="CI221" s="135"/>
      <c r="CJ221" s="135"/>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118"/>
      <c r="DU221" s="4"/>
      <c r="DV221" s="4"/>
      <c r="DW221" s="4"/>
      <c r="DX221" s="4"/>
      <c r="DY221" s="4"/>
      <c r="DZ221" s="4"/>
      <c r="EA221" s="4"/>
      <c r="EB221" s="4"/>
      <c r="EC221" s="4"/>
    </row>
    <row r="222" spans="1:133" s="1" customFormat="1" ht="30" customHeight="1" thickBot="1" x14ac:dyDescent="0.35">
      <c r="A222" s="7"/>
      <c r="B222" s="111" t="s">
        <v>184</v>
      </c>
      <c r="C222" s="112" t="s">
        <v>246</v>
      </c>
      <c r="D222" s="113"/>
      <c r="E222" s="114">
        <v>46357</v>
      </c>
      <c r="F222" s="114">
        <v>46357</v>
      </c>
      <c r="G222" s="31">
        <f t="shared" si="56"/>
        <v>1</v>
      </c>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118"/>
      <c r="AM222" s="4"/>
      <c r="AN222" s="4"/>
      <c r="AO222" s="4"/>
      <c r="AP222" s="4"/>
      <c r="AQ222" s="135"/>
      <c r="AR222" s="4"/>
      <c r="AS222" s="4"/>
      <c r="AT222" s="4"/>
      <c r="AU222" s="4"/>
      <c r="AV222" s="4"/>
      <c r="AW222" s="4"/>
      <c r="AX222" s="4"/>
      <c r="AY222" s="4"/>
      <c r="AZ222" s="4"/>
      <c r="BA222" s="4"/>
      <c r="BB222" s="4"/>
      <c r="BC222" s="135"/>
      <c r="BD222" s="4"/>
      <c r="BE222" s="4"/>
      <c r="BF222" s="4"/>
      <c r="BG222" s="4"/>
      <c r="BH222" s="4"/>
      <c r="BI222" s="4"/>
      <c r="BJ222" s="4"/>
      <c r="BK222" s="4"/>
      <c r="BL222" s="4"/>
      <c r="BM222" s="4"/>
      <c r="BN222" s="4"/>
      <c r="BO222" s="135"/>
      <c r="BP222" s="135"/>
      <c r="BQ222" s="135"/>
      <c r="BR222" s="4"/>
      <c r="BS222" s="4"/>
      <c r="BT222" s="118"/>
      <c r="BU222" s="4"/>
      <c r="BV222" s="4"/>
      <c r="BW222" s="4"/>
      <c r="BX222" s="4"/>
      <c r="BY222" s="4"/>
      <c r="BZ222" s="4"/>
      <c r="CA222" s="118"/>
      <c r="CB222" s="4"/>
      <c r="CC222" s="4"/>
      <c r="CD222" s="4"/>
      <c r="CE222" s="135"/>
      <c r="CF222" s="135"/>
      <c r="CG222" s="135"/>
      <c r="CH222" s="135"/>
      <c r="CI222" s="135"/>
      <c r="CJ222" s="135"/>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118"/>
      <c r="DU222" s="4"/>
      <c r="DV222" s="4"/>
      <c r="DW222" s="4"/>
      <c r="DX222" s="4"/>
      <c r="DY222" s="4"/>
      <c r="DZ222" s="4"/>
      <c r="EA222" s="4"/>
      <c r="EB222" s="4"/>
      <c r="EC222" s="4"/>
    </row>
    <row r="223" spans="1:133" s="1" customFormat="1" ht="30" customHeight="1" thickBot="1" x14ac:dyDescent="0.35">
      <c r="A223" s="7"/>
      <c r="B223" s="111" t="s">
        <v>185</v>
      </c>
      <c r="C223" s="112" t="s">
        <v>246</v>
      </c>
      <c r="D223" s="113"/>
      <c r="E223" s="114">
        <v>46357</v>
      </c>
      <c r="F223" s="114">
        <v>46357</v>
      </c>
      <c r="G223" s="31">
        <f t="shared" si="56"/>
        <v>1</v>
      </c>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118"/>
      <c r="AM223" s="4"/>
      <c r="AN223" s="4"/>
      <c r="AO223" s="4"/>
      <c r="AP223" s="4"/>
      <c r="AQ223" s="135"/>
      <c r="AR223" s="4"/>
      <c r="AS223" s="4"/>
      <c r="AT223" s="4"/>
      <c r="AU223" s="4"/>
      <c r="AV223" s="4"/>
      <c r="AW223" s="4"/>
      <c r="AX223" s="4"/>
      <c r="AY223" s="4"/>
      <c r="AZ223" s="4"/>
      <c r="BA223" s="4"/>
      <c r="BB223" s="4"/>
      <c r="BC223" s="135"/>
      <c r="BD223" s="4"/>
      <c r="BE223" s="4"/>
      <c r="BF223" s="4"/>
      <c r="BG223" s="4"/>
      <c r="BH223" s="4"/>
      <c r="BI223" s="4"/>
      <c r="BJ223" s="4"/>
      <c r="BK223" s="4"/>
      <c r="BL223" s="4"/>
      <c r="BM223" s="4"/>
      <c r="BN223" s="4"/>
      <c r="BO223" s="135"/>
      <c r="BP223" s="135"/>
      <c r="BQ223" s="135"/>
      <c r="BR223" s="4"/>
      <c r="BS223" s="4"/>
      <c r="BT223" s="118"/>
      <c r="BU223" s="4"/>
      <c r="BV223" s="4"/>
      <c r="BW223" s="4"/>
      <c r="BX223" s="4"/>
      <c r="BY223" s="4"/>
      <c r="BZ223" s="4"/>
      <c r="CA223" s="118"/>
      <c r="CB223" s="4"/>
      <c r="CC223" s="4"/>
      <c r="CD223" s="4"/>
      <c r="CE223" s="135"/>
      <c r="CF223" s="135"/>
      <c r="CG223" s="135"/>
      <c r="CH223" s="135"/>
      <c r="CI223" s="135"/>
      <c r="CJ223" s="135"/>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118"/>
      <c r="DU223" s="4"/>
      <c r="DV223" s="4"/>
      <c r="DW223" s="4"/>
      <c r="DX223" s="4"/>
      <c r="DY223" s="4"/>
      <c r="DZ223" s="4"/>
      <c r="EA223" s="4"/>
      <c r="EB223" s="4"/>
      <c r="EC223" s="4"/>
    </row>
    <row r="224" spans="1:133" s="1" customFormat="1" ht="30" customHeight="1" thickBot="1" x14ac:dyDescent="0.35">
      <c r="A224" s="7"/>
      <c r="B224" s="106" t="s">
        <v>186</v>
      </c>
      <c r="C224" s="107"/>
      <c r="D224" s="108"/>
      <c r="E224" s="109"/>
      <c r="F224" s="110"/>
      <c r="G224" s="31" t="str">
        <f t="shared" si="56"/>
        <v/>
      </c>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118"/>
      <c r="AM224" s="4"/>
      <c r="AN224" s="4"/>
      <c r="AO224" s="4"/>
      <c r="AP224" s="4"/>
      <c r="AQ224" s="135"/>
      <c r="AR224" s="4"/>
      <c r="AS224" s="4"/>
      <c r="AT224" s="4"/>
      <c r="AU224" s="4"/>
      <c r="AV224" s="4"/>
      <c r="AW224" s="4"/>
      <c r="AX224" s="4"/>
      <c r="AY224" s="4"/>
      <c r="AZ224" s="4"/>
      <c r="BA224" s="4"/>
      <c r="BB224" s="4"/>
      <c r="BC224" s="135"/>
      <c r="BD224" s="4"/>
      <c r="BE224" s="4"/>
      <c r="BF224" s="4"/>
      <c r="BG224" s="4"/>
      <c r="BH224" s="4"/>
      <c r="BI224" s="4"/>
      <c r="BJ224" s="4"/>
      <c r="BK224" s="4"/>
      <c r="BL224" s="4"/>
      <c r="BM224" s="4"/>
      <c r="BN224" s="4"/>
      <c r="BO224" s="135"/>
      <c r="BP224" s="135"/>
      <c r="BQ224" s="135"/>
      <c r="BR224" s="4"/>
      <c r="BS224" s="4"/>
      <c r="BT224" s="118"/>
      <c r="BU224" s="4"/>
      <c r="BV224" s="4"/>
      <c r="BW224" s="4"/>
      <c r="BX224" s="4"/>
      <c r="BY224" s="4"/>
      <c r="BZ224" s="4"/>
      <c r="CA224" s="118"/>
      <c r="CB224" s="4"/>
      <c r="CC224" s="4"/>
      <c r="CD224" s="4"/>
      <c r="CE224" s="135"/>
      <c r="CF224" s="135"/>
      <c r="CG224" s="135"/>
      <c r="CH224" s="135"/>
      <c r="CI224" s="135"/>
      <c r="CJ224" s="135"/>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118"/>
      <c r="DU224" s="4"/>
      <c r="DV224" s="4"/>
      <c r="DW224" s="4"/>
      <c r="DX224" s="4"/>
      <c r="DY224" s="4"/>
      <c r="DZ224" s="4"/>
      <c r="EA224" s="4"/>
      <c r="EB224" s="4"/>
      <c r="EC224" s="4"/>
    </row>
    <row r="225" spans="1:133" s="1" customFormat="1" ht="30" customHeight="1" thickBot="1" x14ac:dyDescent="0.35">
      <c r="A225" s="7"/>
      <c r="B225" s="111" t="s">
        <v>194</v>
      </c>
      <c r="C225" s="112" t="s">
        <v>246</v>
      </c>
      <c r="D225" s="113"/>
      <c r="E225" s="114">
        <v>46358</v>
      </c>
      <c r="F225" s="114">
        <v>46358</v>
      </c>
      <c r="G225" s="31">
        <f t="shared" si="56"/>
        <v>1</v>
      </c>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118"/>
      <c r="AM225" s="4"/>
      <c r="AN225" s="4"/>
      <c r="AO225" s="4"/>
      <c r="AP225" s="4"/>
      <c r="AQ225" s="135"/>
      <c r="AR225" s="4"/>
      <c r="AS225" s="4"/>
      <c r="AT225" s="4"/>
      <c r="AU225" s="4"/>
      <c r="AV225" s="4"/>
      <c r="AW225" s="4"/>
      <c r="AX225" s="4"/>
      <c r="AY225" s="4"/>
      <c r="AZ225" s="4"/>
      <c r="BA225" s="4"/>
      <c r="BB225" s="4"/>
      <c r="BC225" s="135"/>
      <c r="BD225" s="4"/>
      <c r="BE225" s="4"/>
      <c r="BF225" s="4"/>
      <c r="BG225" s="4"/>
      <c r="BH225" s="4"/>
      <c r="BI225" s="4"/>
      <c r="BJ225" s="4"/>
      <c r="BK225" s="4"/>
      <c r="BL225" s="4"/>
      <c r="BM225" s="4"/>
      <c r="BN225" s="4"/>
      <c r="BO225" s="135"/>
      <c r="BP225" s="135"/>
      <c r="BQ225" s="135"/>
      <c r="BR225" s="4"/>
      <c r="BS225" s="4"/>
      <c r="BT225" s="118"/>
      <c r="BU225" s="4"/>
      <c r="BV225" s="4"/>
      <c r="BW225" s="4"/>
      <c r="BX225" s="4"/>
      <c r="BY225" s="4"/>
      <c r="BZ225" s="4"/>
      <c r="CA225" s="118"/>
      <c r="CB225" s="4"/>
      <c r="CC225" s="4"/>
      <c r="CD225" s="4"/>
      <c r="CE225" s="135"/>
      <c r="CF225" s="135"/>
      <c r="CG225" s="135"/>
      <c r="CH225" s="135"/>
      <c r="CI225" s="135"/>
      <c r="CJ225" s="135"/>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118"/>
      <c r="DU225" s="4"/>
      <c r="DV225" s="4"/>
      <c r="DW225" s="4"/>
      <c r="DX225" s="4"/>
      <c r="DY225" s="4"/>
      <c r="DZ225" s="4"/>
      <c r="EA225" s="4"/>
      <c r="EB225" s="4"/>
      <c r="EC225" s="4"/>
    </row>
    <row r="226" spans="1:133" s="1" customFormat="1" ht="30" customHeight="1" thickBot="1" x14ac:dyDescent="0.35">
      <c r="A226" s="7"/>
      <c r="B226" s="111" t="s">
        <v>197</v>
      </c>
      <c r="C226" s="112" t="s">
        <v>246</v>
      </c>
      <c r="D226" s="113"/>
      <c r="E226" s="114">
        <v>46358</v>
      </c>
      <c r="F226" s="114">
        <v>46358</v>
      </c>
      <c r="G226" s="31">
        <f t="shared" si="56"/>
        <v>1</v>
      </c>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118"/>
      <c r="AM226" s="4"/>
      <c r="AN226" s="4"/>
      <c r="AO226" s="4"/>
      <c r="AP226" s="4"/>
      <c r="AQ226" s="135"/>
      <c r="AR226" s="4"/>
      <c r="AS226" s="4"/>
      <c r="AT226" s="4"/>
      <c r="AU226" s="4"/>
      <c r="AV226" s="4"/>
      <c r="AW226" s="4"/>
      <c r="AX226" s="4"/>
      <c r="AY226" s="4"/>
      <c r="AZ226" s="4"/>
      <c r="BA226" s="4"/>
      <c r="BB226" s="4"/>
      <c r="BC226" s="135"/>
      <c r="BD226" s="4"/>
      <c r="BE226" s="4"/>
      <c r="BF226" s="4"/>
      <c r="BG226" s="4"/>
      <c r="BH226" s="4"/>
      <c r="BI226" s="4"/>
      <c r="BJ226" s="4"/>
      <c r="BK226" s="4"/>
      <c r="BL226" s="4"/>
      <c r="BM226" s="4"/>
      <c r="BN226" s="4"/>
      <c r="BO226" s="135"/>
      <c r="BP226" s="135"/>
      <c r="BQ226" s="135"/>
      <c r="BR226" s="4"/>
      <c r="BS226" s="4"/>
      <c r="BT226" s="118"/>
      <c r="BU226" s="4"/>
      <c r="BV226" s="4"/>
      <c r="BW226" s="4"/>
      <c r="BX226" s="4"/>
      <c r="BY226" s="4"/>
      <c r="BZ226" s="4"/>
      <c r="CA226" s="118"/>
      <c r="CB226" s="4"/>
      <c r="CC226" s="4"/>
      <c r="CD226" s="4"/>
      <c r="CE226" s="135"/>
      <c r="CF226" s="135"/>
      <c r="CG226" s="135"/>
      <c r="CH226" s="135"/>
      <c r="CI226" s="135"/>
      <c r="CJ226" s="135"/>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118"/>
      <c r="DU226" s="4"/>
      <c r="DV226" s="4"/>
      <c r="DW226" s="4"/>
      <c r="DX226" s="4"/>
      <c r="DY226" s="4"/>
      <c r="DZ226" s="4"/>
      <c r="EA226" s="4"/>
      <c r="EB226" s="4"/>
      <c r="EC226" s="4"/>
    </row>
    <row r="227" spans="1:133" s="1" customFormat="1" ht="30" customHeight="1" thickBot="1" x14ac:dyDescent="0.35">
      <c r="A227" s="7"/>
      <c r="B227" s="111" t="s">
        <v>198</v>
      </c>
      <c r="C227" s="112" t="s">
        <v>246</v>
      </c>
      <c r="D227" s="113"/>
      <c r="E227" s="114">
        <v>46358</v>
      </c>
      <c r="F227" s="114">
        <v>46358</v>
      </c>
      <c r="G227" s="31">
        <f t="shared" si="56"/>
        <v>1</v>
      </c>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118"/>
      <c r="AM227" s="4"/>
      <c r="AN227" s="4"/>
      <c r="AO227" s="4"/>
      <c r="AP227" s="4"/>
      <c r="AQ227" s="135"/>
      <c r="AR227" s="4"/>
      <c r="AS227" s="4"/>
      <c r="AT227" s="4"/>
      <c r="AU227" s="4"/>
      <c r="AV227" s="4"/>
      <c r="AW227" s="4"/>
      <c r="AX227" s="4"/>
      <c r="AY227" s="4"/>
      <c r="AZ227" s="4"/>
      <c r="BA227" s="4"/>
      <c r="BB227" s="4"/>
      <c r="BC227" s="135"/>
      <c r="BD227" s="4"/>
      <c r="BE227" s="4"/>
      <c r="BF227" s="4"/>
      <c r="BG227" s="4"/>
      <c r="BH227" s="4"/>
      <c r="BI227" s="4"/>
      <c r="BJ227" s="4"/>
      <c r="BK227" s="4"/>
      <c r="BL227" s="4"/>
      <c r="BM227" s="4"/>
      <c r="BN227" s="4"/>
      <c r="BO227" s="135"/>
      <c r="BP227" s="135"/>
      <c r="BQ227" s="135"/>
      <c r="BR227" s="4"/>
      <c r="BS227" s="4"/>
      <c r="BT227" s="118"/>
      <c r="BU227" s="4"/>
      <c r="BV227" s="4"/>
      <c r="BW227" s="4"/>
      <c r="BX227" s="4"/>
      <c r="BY227" s="4"/>
      <c r="BZ227" s="4"/>
      <c r="CA227" s="118"/>
      <c r="CB227" s="4"/>
      <c r="CC227" s="4"/>
      <c r="CD227" s="4"/>
      <c r="CE227" s="135"/>
      <c r="CF227" s="135"/>
      <c r="CG227" s="135"/>
      <c r="CH227" s="135"/>
      <c r="CI227" s="135"/>
      <c r="CJ227" s="135"/>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118"/>
      <c r="DU227" s="4"/>
      <c r="DV227" s="4"/>
      <c r="DW227" s="4"/>
      <c r="DX227" s="4"/>
      <c r="DY227" s="4"/>
      <c r="DZ227" s="4"/>
      <c r="EA227" s="4"/>
      <c r="EB227" s="4"/>
      <c r="EC227" s="4"/>
    </row>
    <row r="228" spans="1:133" s="1" customFormat="1" ht="30" customHeight="1" thickBot="1" x14ac:dyDescent="0.35">
      <c r="A228" s="7"/>
      <c r="B228" s="111" t="s">
        <v>199</v>
      </c>
      <c r="C228" s="112" t="s">
        <v>246</v>
      </c>
      <c r="D228" s="113"/>
      <c r="E228" s="114">
        <v>46359</v>
      </c>
      <c r="F228" s="114">
        <v>46359</v>
      </c>
      <c r="G228" s="31">
        <f t="shared" si="56"/>
        <v>1</v>
      </c>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118"/>
      <c r="AM228" s="4"/>
      <c r="AN228" s="4"/>
      <c r="AO228" s="4"/>
      <c r="AP228" s="4"/>
      <c r="AQ228" s="135"/>
      <c r="AR228" s="4"/>
      <c r="AS228" s="4"/>
      <c r="AT228" s="4"/>
      <c r="AU228" s="4"/>
      <c r="AV228" s="4"/>
      <c r="AW228" s="4"/>
      <c r="AX228" s="4"/>
      <c r="AY228" s="4"/>
      <c r="AZ228" s="4"/>
      <c r="BA228" s="4"/>
      <c r="BB228" s="4"/>
      <c r="BC228" s="135"/>
      <c r="BD228" s="4"/>
      <c r="BE228" s="4"/>
      <c r="BF228" s="4"/>
      <c r="BG228" s="4"/>
      <c r="BH228" s="4"/>
      <c r="BI228" s="4"/>
      <c r="BJ228" s="4"/>
      <c r="BK228" s="4"/>
      <c r="BL228" s="4"/>
      <c r="BM228" s="4"/>
      <c r="BN228" s="4"/>
      <c r="BO228" s="135"/>
      <c r="BP228" s="135"/>
      <c r="BQ228" s="135"/>
      <c r="BR228" s="4"/>
      <c r="BS228" s="4"/>
      <c r="BT228" s="118"/>
      <c r="BU228" s="4"/>
      <c r="BV228" s="4"/>
      <c r="BW228" s="4"/>
      <c r="BX228" s="4"/>
      <c r="BY228" s="4"/>
      <c r="BZ228" s="4"/>
      <c r="CA228" s="118"/>
      <c r="CB228" s="4"/>
      <c r="CC228" s="4"/>
      <c r="CD228" s="4"/>
      <c r="CE228" s="135"/>
      <c r="CF228" s="135"/>
      <c r="CG228" s="135"/>
      <c r="CH228" s="135"/>
      <c r="CI228" s="135"/>
      <c r="CJ228" s="135"/>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118"/>
      <c r="DU228" s="4"/>
      <c r="DV228" s="4"/>
      <c r="DW228" s="4"/>
      <c r="DX228" s="4"/>
      <c r="DY228" s="4"/>
      <c r="DZ228" s="4"/>
      <c r="EA228" s="4"/>
      <c r="EB228" s="4"/>
      <c r="EC228" s="4"/>
    </row>
    <row r="229" spans="1:133" s="1" customFormat="1" ht="30" customHeight="1" thickBot="1" x14ac:dyDescent="0.35">
      <c r="A229" s="7"/>
      <c r="B229" s="111" t="s">
        <v>200</v>
      </c>
      <c r="C229" s="112" t="s">
        <v>246</v>
      </c>
      <c r="D229" s="113"/>
      <c r="E229" s="114">
        <v>46359</v>
      </c>
      <c r="F229" s="114">
        <v>46359</v>
      </c>
      <c r="G229" s="31">
        <v>1</v>
      </c>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118"/>
      <c r="AM229" s="4"/>
      <c r="AN229" s="4"/>
      <c r="AO229" s="4"/>
      <c r="AP229" s="4"/>
      <c r="AQ229" s="135"/>
      <c r="AR229" s="4"/>
      <c r="AS229" s="4"/>
      <c r="AT229" s="4"/>
      <c r="AU229" s="4"/>
      <c r="AV229" s="4"/>
      <c r="AW229" s="4"/>
      <c r="AX229" s="4"/>
      <c r="AY229" s="4"/>
      <c r="AZ229" s="4"/>
      <c r="BA229" s="4"/>
      <c r="BB229" s="4"/>
      <c r="BC229" s="135"/>
      <c r="BD229" s="4"/>
      <c r="BE229" s="4"/>
      <c r="BF229" s="4"/>
      <c r="BG229" s="4"/>
      <c r="BH229" s="4"/>
      <c r="BI229" s="4"/>
      <c r="BJ229" s="4"/>
      <c r="BK229" s="4"/>
      <c r="BL229" s="4"/>
      <c r="BM229" s="4"/>
      <c r="BN229" s="4"/>
      <c r="BO229" s="135"/>
      <c r="BP229" s="135"/>
      <c r="BQ229" s="135"/>
      <c r="BR229" s="4"/>
      <c r="BS229" s="4"/>
      <c r="BT229" s="118"/>
      <c r="BU229" s="4"/>
      <c r="BV229" s="4"/>
      <c r="BW229" s="4"/>
      <c r="BX229" s="4"/>
      <c r="BY229" s="4"/>
      <c r="BZ229" s="4"/>
      <c r="CA229" s="118"/>
      <c r="CB229" s="4"/>
      <c r="CC229" s="4"/>
      <c r="CD229" s="4"/>
      <c r="CE229" s="135"/>
      <c r="CF229" s="135"/>
      <c r="CG229" s="135"/>
      <c r="CH229" s="135"/>
      <c r="CI229" s="135"/>
      <c r="CJ229" s="135"/>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118"/>
      <c r="DU229" s="4"/>
      <c r="DV229" s="4"/>
      <c r="DW229" s="4"/>
      <c r="DX229" s="4"/>
      <c r="DY229" s="4"/>
      <c r="DZ229" s="4"/>
      <c r="EA229" s="4"/>
      <c r="EB229" s="4"/>
      <c r="EC229" s="4"/>
    </row>
    <row r="230" spans="1:133" s="1" customFormat="1" ht="30" customHeight="1" thickBot="1" x14ac:dyDescent="0.35">
      <c r="A230" s="7"/>
      <c r="B230" s="111" t="s">
        <v>201</v>
      </c>
      <c r="C230" s="112" t="s">
        <v>246</v>
      </c>
      <c r="D230" s="113"/>
      <c r="E230" s="114">
        <v>46359</v>
      </c>
      <c r="F230" s="114">
        <v>46359</v>
      </c>
      <c r="G230" s="31">
        <f t="shared" si="56"/>
        <v>1</v>
      </c>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118"/>
      <c r="AM230" s="4"/>
      <c r="AN230" s="4"/>
      <c r="AO230" s="4"/>
      <c r="AP230" s="4"/>
      <c r="AQ230" s="135"/>
      <c r="AR230" s="4"/>
      <c r="AS230" s="4"/>
      <c r="AT230" s="4"/>
      <c r="AU230" s="4"/>
      <c r="AV230" s="4"/>
      <c r="AW230" s="4"/>
      <c r="AX230" s="4"/>
      <c r="AY230" s="4"/>
      <c r="AZ230" s="4"/>
      <c r="BA230" s="4"/>
      <c r="BB230" s="4"/>
      <c r="BC230" s="135"/>
      <c r="BD230" s="4"/>
      <c r="BE230" s="4"/>
      <c r="BF230" s="4"/>
      <c r="BG230" s="4"/>
      <c r="BH230" s="4"/>
      <c r="BI230" s="4"/>
      <c r="BJ230" s="4"/>
      <c r="BK230" s="4"/>
      <c r="BL230" s="4"/>
      <c r="BM230" s="4"/>
      <c r="BN230" s="4"/>
      <c r="BO230" s="135"/>
      <c r="BP230" s="135"/>
      <c r="BQ230" s="135"/>
      <c r="BR230" s="4"/>
      <c r="BS230" s="4"/>
      <c r="BT230" s="118"/>
      <c r="BU230" s="4"/>
      <c r="BV230" s="4"/>
      <c r="BW230" s="4"/>
      <c r="BX230" s="4"/>
      <c r="BY230" s="4"/>
      <c r="BZ230" s="4"/>
      <c r="CA230" s="118"/>
      <c r="CB230" s="4"/>
      <c r="CC230" s="4"/>
      <c r="CD230" s="4"/>
      <c r="CE230" s="135"/>
      <c r="CF230" s="135"/>
      <c r="CG230" s="135"/>
      <c r="CH230" s="135"/>
      <c r="CI230" s="135"/>
      <c r="CJ230" s="135"/>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118"/>
      <c r="DU230" s="4"/>
      <c r="DV230" s="4"/>
      <c r="DW230" s="4"/>
      <c r="DX230" s="4"/>
      <c r="DY230" s="4"/>
      <c r="DZ230" s="4"/>
      <c r="EA230" s="4"/>
      <c r="EB230" s="4"/>
      <c r="EC230" s="4"/>
    </row>
    <row r="231" spans="1:133" s="1" customFormat="1" ht="30" customHeight="1" thickBot="1" x14ac:dyDescent="0.35">
      <c r="A231" s="7"/>
      <c r="B231" s="111" t="s">
        <v>202</v>
      </c>
      <c r="C231" s="112" t="s">
        <v>246</v>
      </c>
      <c r="D231" s="113"/>
      <c r="E231" s="114">
        <v>46360</v>
      </c>
      <c r="F231" s="114">
        <v>46360</v>
      </c>
      <c r="G231" s="31">
        <v>1</v>
      </c>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118"/>
      <c r="AM231" s="4"/>
      <c r="AN231" s="4"/>
      <c r="AO231" s="4"/>
      <c r="AP231" s="4"/>
      <c r="AQ231" s="135"/>
      <c r="AR231" s="4"/>
      <c r="AS231" s="4"/>
      <c r="AT231" s="4"/>
      <c r="AU231" s="4"/>
      <c r="AV231" s="4"/>
      <c r="AW231" s="4"/>
      <c r="AX231" s="4"/>
      <c r="AY231" s="4"/>
      <c r="AZ231" s="4"/>
      <c r="BA231" s="4"/>
      <c r="BB231" s="4"/>
      <c r="BC231" s="135"/>
      <c r="BD231" s="4"/>
      <c r="BE231" s="4"/>
      <c r="BF231" s="4"/>
      <c r="BG231" s="4"/>
      <c r="BH231" s="4"/>
      <c r="BI231" s="4"/>
      <c r="BJ231" s="4"/>
      <c r="BK231" s="4"/>
      <c r="BL231" s="4"/>
      <c r="BM231" s="4"/>
      <c r="BN231" s="4"/>
      <c r="BO231" s="135"/>
      <c r="BP231" s="135"/>
      <c r="BQ231" s="135"/>
      <c r="BR231" s="4"/>
      <c r="BS231" s="4"/>
      <c r="BT231" s="118"/>
      <c r="BU231" s="4"/>
      <c r="BV231" s="4"/>
      <c r="BW231" s="4"/>
      <c r="BX231" s="4"/>
      <c r="BY231" s="4"/>
      <c r="BZ231" s="4"/>
      <c r="CA231" s="118"/>
      <c r="CB231" s="4"/>
      <c r="CC231" s="4"/>
      <c r="CD231" s="4"/>
      <c r="CE231" s="135"/>
      <c r="CF231" s="135"/>
      <c r="CG231" s="135"/>
      <c r="CH231" s="135"/>
      <c r="CI231" s="135"/>
      <c r="CJ231" s="135"/>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118"/>
      <c r="DU231" s="4"/>
      <c r="DV231" s="4"/>
      <c r="DW231" s="4"/>
      <c r="DX231" s="4"/>
      <c r="DY231" s="4"/>
      <c r="DZ231" s="4"/>
      <c r="EA231" s="4"/>
      <c r="EB231" s="4"/>
      <c r="EC231" s="4"/>
    </row>
    <row r="232" spans="1:133" s="1" customFormat="1" ht="30" customHeight="1" thickBot="1" x14ac:dyDescent="0.35">
      <c r="A232" s="7"/>
      <c r="B232" s="111" t="s">
        <v>203</v>
      </c>
      <c r="C232" s="112" t="s">
        <v>246</v>
      </c>
      <c r="D232" s="113"/>
      <c r="E232" s="114">
        <v>46360</v>
      </c>
      <c r="F232" s="114">
        <v>46360</v>
      </c>
      <c r="G232" s="31">
        <f t="shared" si="56"/>
        <v>1</v>
      </c>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118"/>
      <c r="AM232" s="4"/>
      <c r="AN232" s="4"/>
      <c r="AO232" s="4"/>
      <c r="AP232" s="4"/>
      <c r="AQ232" s="135"/>
      <c r="AR232" s="4"/>
      <c r="AS232" s="4"/>
      <c r="AT232" s="4"/>
      <c r="AU232" s="4"/>
      <c r="AV232" s="4"/>
      <c r="AW232" s="4"/>
      <c r="AX232" s="4"/>
      <c r="AY232" s="4"/>
      <c r="AZ232" s="4"/>
      <c r="BA232" s="4"/>
      <c r="BB232" s="4"/>
      <c r="BC232" s="135"/>
      <c r="BD232" s="4"/>
      <c r="BE232" s="4"/>
      <c r="BF232" s="4"/>
      <c r="BG232" s="4"/>
      <c r="BH232" s="4"/>
      <c r="BI232" s="4"/>
      <c r="BJ232" s="4"/>
      <c r="BK232" s="4"/>
      <c r="BL232" s="4"/>
      <c r="BM232" s="4"/>
      <c r="BN232" s="4"/>
      <c r="BO232" s="135"/>
      <c r="BP232" s="135"/>
      <c r="BQ232" s="135"/>
      <c r="BR232" s="4"/>
      <c r="BS232" s="4"/>
      <c r="BT232" s="118"/>
      <c r="BU232" s="4"/>
      <c r="BV232" s="4"/>
      <c r="BW232" s="4"/>
      <c r="BX232" s="4"/>
      <c r="BY232" s="4"/>
      <c r="BZ232" s="4"/>
      <c r="CA232" s="118"/>
      <c r="CB232" s="4"/>
      <c r="CC232" s="4"/>
      <c r="CD232" s="4"/>
      <c r="CE232" s="135"/>
      <c r="CF232" s="135"/>
      <c r="CG232" s="135"/>
      <c r="CH232" s="135"/>
      <c r="CI232" s="135"/>
      <c r="CJ232" s="135"/>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118"/>
      <c r="DU232" s="4"/>
      <c r="DV232" s="4"/>
      <c r="DW232" s="4"/>
      <c r="DX232" s="4"/>
      <c r="DY232" s="4"/>
      <c r="DZ232" s="4"/>
      <c r="EA232" s="4"/>
      <c r="EB232" s="4"/>
      <c r="EC232" s="4"/>
    </row>
    <row r="233" spans="1:133" s="1" customFormat="1" ht="30" customHeight="1" thickBot="1" x14ac:dyDescent="0.35">
      <c r="A233" s="7"/>
      <c r="B233" s="111" t="s">
        <v>204</v>
      </c>
      <c r="C233" s="112" t="s">
        <v>246</v>
      </c>
      <c r="D233" s="113"/>
      <c r="E233" s="114">
        <v>46360</v>
      </c>
      <c r="F233" s="114">
        <v>46360</v>
      </c>
      <c r="G233" s="31">
        <f t="shared" si="56"/>
        <v>1</v>
      </c>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118"/>
      <c r="AM233" s="4"/>
      <c r="AN233" s="4"/>
      <c r="AO233" s="4"/>
      <c r="AP233" s="4"/>
      <c r="AQ233" s="135"/>
      <c r="AR233" s="4"/>
      <c r="AS233" s="4"/>
      <c r="AT233" s="4"/>
      <c r="AU233" s="4"/>
      <c r="AV233" s="4"/>
      <c r="AW233" s="4"/>
      <c r="AX233" s="4"/>
      <c r="AY233" s="4"/>
      <c r="AZ233" s="4"/>
      <c r="BA233" s="4"/>
      <c r="BB233" s="4"/>
      <c r="BC233" s="135"/>
      <c r="BD233" s="4"/>
      <c r="BE233" s="4"/>
      <c r="BF233" s="4"/>
      <c r="BG233" s="4"/>
      <c r="BH233" s="4"/>
      <c r="BI233" s="4"/>
      <c r="BJ233" s="4"/>
      <c r="BK233" s="4"/>
      <c r="BL233" s="4"/>
      <c r="BM233" s="4"/>
      <c r="BN233" s="4"/>
      <c r="BO233" s="135"/>
      <c r="BP233" s="135"/>
      <c r="BQ233" s="135"/>
      <c r="BR233" s="4"/>
      <c r="BS233" s="4"/>
      <c r="BT233" s="118"/>
      <c r="BU233" s="4"/>
      <c r="BV233" s="4"/>
      <c r="BW233" s="4"/>
      <c r="BX233" s="4"/>
      <c r="BY233" s="4"/>
      <c r="BZ233" s="4"/>
      <c r="CA233" s="118"/>
      <c r="CB233" s="4"/>
      <c r="CC233" s="4"/>
      <c r="CD233" s="4"/>
      <c r="CE233" s="135"/>
      <c r="CF233" s="135"/>
      <c r="CG233" s="135"/>
      <c r="CH233" s="135"/>
      <c r="CI233" s="135"/>
      <c r="CJ233" s="135"/>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118"/>
      <c r="DU233" s="4"/>
      <c r="DV233" s="4"/>
      <c r="DW233" s="4"/>
      <c r="DX233" s="4"/>
      <c r="DY233" s="4"/>
      <c r="DZ233" s="4"/>
      <c r="EA233" s="4"/>
      <c r="EB233" s="4"/>
      <c r="EC233" s="4"/>
    </row>
    <row r="234" spans="1:133" s="1" customFormat="1" ht="30" customHeight="1" thickBot="1" x14ac:dyDescent="0.35">
      <c r="A234" s="7"/>
      <c r="B234" s="111" t="s">
        <v>205</v>
      </c>
      <c r="C234" s="112" t="s">
        <v>246</v>
      </c>
      <c r="D234" s="113"/>
      <c r="E234" s="114">
        <v>46361</v>
      </c>
      <c r="F234" s="114">
        <v>46361</v>
      </c>
      <c r="G234" s="31">
        <f t="shared" si="56"/>
        <v>1</v>
      </c>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118"/>
      <c r="AM234" s="4"/>
      <c r="AN234" s="4"/>
      <c r="AO234" s="4"/>
      <c r="AP234" s="4"/>
      <c r="AQ234" s="135"/>
      <c r="AR234" s="4"/>
      <c r="AS234" s="4"/>
      <c r="AT234" s="4"/>
      <c r="AU234" s="4"/>
      <c r="AV234" s="4"/>
      <c r="AW234" s="4"/>
      <c r="AX234" s="4"/>
      <c r="AY234" s="4"/>
      <c r="AZ234" s="4"/>
      <c r="BA234" s="4"/>
      <c r="BB234" s="4"/>
      <c r="BC234" s="135"/>
      <c r="BD234" s="4"/>
      <c r="BE234" s="4"/>
      <c r="BF234" s="4"/>
      <c r="BG234" s="4"/>
      <c r="BH234" s="4"/>
      <c r="BI234" s="4"/>
      <c r="BJ234" s="4"/>
      <c r="BK234" s="4"/>
      <c r="BL234" s="4"/>
      <c r="BM234" s="4"/>
      <c r="BN234" s="4"/>
      <c r="BO234" s="135"/>
      <c r="BP234" s="135"/>
      <c r="BQ234" s="135"/>
      <c r="BR234" s="4"/>
      <c r="BS234" s="4"/>
      <c r="BT234" s="118"/>
      <c r="BU234" s="4"/>
      <c r="BV234" s="4"/>
      <c r="BW234" s="4"/>
      <c r="BX234" s="4"/>
      <c r="BY234" s="4"/>
      <c r="BZ234" s="4"/>
      <c r="CA234" s="118"/>
      <c r="CB234" s="4"/>
      <c r="CC234" s="4"/>
      <c r="CD234" s="4"/>
      <c r="CE234" s="135"/>
      <c r="CF234" s="135"/>
      <c r="CG234" s="135"/>
      <c r="CH234" s="135"/>
      <c r="CI234" s="135"/>
      <c r="CJ234" s="135"/>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118"/>
      <c r="DU234" s="4"/>
      <c r="DV234" s="4"/>
      <c r="DW234" s="4"/>
      <c r="DX234" s="4"/>
      <c r="DY234" s="4"/>
      <c r="DZ234" s="4"/>
      <c r="EA234" s="4"/>
      <c r="EB234" s="4"/>
      <c r="EC234" s="4"/>
    </row>
    <row r="235" spans="1:133" s="1" customFormat="1" ht="30" customHeight="1" thickBot="1" x14ac:dyDescent="0.35">
      <c r="A235" s="7"/>
      <c r="B235" s="111" t="s">
        <v>206</v>
      </c>
      <c r="C235" s="112" t="s">
        <v>246</v>
      </c>
      <c r="D235" s="113"/>
      <c r="E235" s="114">
        <v>46361</v>
      </c>
      <c r="F235" s="114">
        <v>46361</v>
      </c>
      <c r="G235" s="31">
        <f t="shared" si="56"/>
        <v>1</v>
      </c>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118"/>
      <c r="AM235" s="4"/>
      <c r="AN235" s="4"/>
      <c r="AO235" s="4"/>
      <c r="AP235" s="4"/>
      <c r="AQ235" s="135"/>
      <c r="AR235" s="4"/>
      <c r="AS235" s="4"/>
      <c r="AT235" s="4"/>
      <c r="AU235" s="4"/>
      <c r="AV235" s="4"/>
      <c r="AW235" s="4"/>
      <c r="AX235" s="4"/>
      <c r="AY235" s="4"/>
      <c r="AZ235" s="4"/>
      <c r="BA235" s="4"/>
      <c r="BB235" s="4"/>
      <c r="BC235" s="135"/>
      <c r="BD235" s="4"/>
      <c r="BE235" s="4"/>
      <c r="BF235" s="4"/>
      <c r="BG235" s="4"/>
      <c r="BH235" s="4"/>
      <c r="BI235" s="4"/>
      <c r="BJ235" s="4"/>
      <c r="BK235" s="4"/>
      <c r="BL235" s="4"/>
      <c r="BM235" s="4"/>
      <c r="BN235" s="4"/>
      <c r="BO235" s="135"/>
      <c r="BP235" s="135"/>
      <c r="BQ235" s="135"/>
      <c r="BR235" s="4"/>
      <c r="BS235" s="4"/>
      <c r="BT235" s="118"/>
      <c r="BU235" s="4"/>
      <c r="BV235" s="4"/>
      <c r="BW235" s="4"/>
      <c r="BX235" s="4"/>
      <c r="BY235" s="4"/>
      <c r="BZ235" s="4"/>
      <c r="CA235" s="118"/>
      <c r="CB235" s="4"/>
      <c r="CC235" s="4"/>
      <c r="CD235" s="4"/>
      <c r="CE235" s="135"/>
      <c r="CF235" s="135"/>
      <c r="CG235" s="135"/>
      <c r="CH235" s="135"/>
      <c r="CI235" s="135"/>
      <c r="CJ235" s="135"/>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118"/>
      <c r="DU235" s="4"/>
      <c r="DV235" s="4"/>
      <c r="DW235" s="4"/>
      <c r="DX235" s="4"/>
      <c r="DY235" s="4"/>
      <c r="DZ235" s="4"/>
      <c r="EA235" s="4"/>
      <c r="EB235" s="4"/>
      <c r="EC235" s="4"/>
    </row>
    <row r="236" spans="1:133" s="1" customFormat="1" ht="30" customHeight="1" thickBot="1" x14ac:dyDescent="0.35">
      <c r="A236" s="7"/>
      <c r="B236" s="111" t="s">
        <v>207</v>
      </c>
      <c r="C236" s="112" t="s">
        <v>246</v>
      </c>
      <c r="D236" s="113"/>
      <c r="E236" s="114">
        <v>46361</v>
      </c>
      <c r="F236" s="114">
        <v>46361</v>
      </c>
      <c r="G236" s="31">
        <f t="shared" si="56"/>
        <v>1</v>
      </c>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118"/>
      <c r="AM236" s="4"/>
      <c r="AN236" s="4"/>
      <c r="AO236" s="4"/>
      <c r="AP236" s="4"/>
      <c r="AQ236" s="135"/>
      <c r="AR236" s="4"/>
      <c r="AS236" s="4"/>
      <c r="AT236" s="4"/>
      <c r="AU236" s="4"/>
      <c r="AV236" s="4"/>
      <c r="AW236" s="4"/>
      <c r="AX236" s="4"/>
      <c r="AY236" s="4"/>
      <c r="AZ236" s="4"/>
      <c r="BA236" s="4"/>
      <c r="BB236" s="4"/>
      <c r="BC236" s="135"/>
      <c r="BD236" s="4"/>
      <c r="BE236" s="4"/>
      <c r="BF236" s="4"/>
      <c r="BG236" s="4"/>
      <c r="BH236" s="4"/>
      <c r="BI236" s="4"/>
      <c r="BJ236" s="4"/>
      <c r="BK236" s="4"/>
      <c r="BL236" s="4"/>
      <c r="BM236" s="4"/>
      <c r="BN236" s="4"/>
      <c r="BO236" s="135"/>
      <c r="BP236" s="135"/>
      <c r="BQ236" s="135"/>
      <c r="BR236" s="4"/>
      <c r="BS236" s="4"/>
      <c r="BT236" s="118"/>
      <c r="BU236" s="4"/>
      <c r="BV236" s="4"/>
      <c r="BW236" s="4"/>
      <c r="BX236" s="4"/>
      <c r="BY236" s="4"/>
      <c r="BZ236" s="4"/>
      <c r="CA236" s="118"/>
      <c r="CB236" s="4"/>
      <c r="CC236" s="4"/>
      <c r="CD236" s="4"/>
      <c r="CE236" s="135"/>
      <c r="CF236" s="135"/>
      <c r="CG236" s="135"/>
      <c r="CH236" s="135"/>
      <c r="CI236" s="135"/>
      <c r="CJ236" s="135"/>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118"/>
      <c r="DU236" s="4"/>
      <c r="DV236" s="4"/>
      <c r="DW236" s="4"/>
      <c r="DX236" s="4"/>
      <c r="DY236" s="4"/>
      <c r="DZ236" s="4"/>
      <c r="EA236" s="4"/>
      <c r="EB236" s="4"/>
      <c r="EC236" s="4"/>
    </row>
    <row r="237" spans="1:133" s="1" customFormat="1" ht="30" customHeight="1" thickBot="1" x14ac:dyDescent="0.35">
      <c r="A237" s="7"/>
      <c r="B237" s="106" t="s">
        <v>208</v>
      </c>
      <c r="C237" s="107"/>
      <c r="D237" s="108"/>
      <c r="E237" s="109"/>
      <c r="F237" s="110"/>
      <c r="G237" s="31" t="str">
        <f t="shared" si="56"/>
        <v/>
      </c>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118"/>
      <c r="AM237" s="4"/>
      <c r="AN237" s="4"/>
      <c r="AO237" s="4"/>
      <c r="AP237" s="4"/>
      <c r="AQ237" s="135"/>
      <c r="AR237" s="4"/>
      <c r="AS237" s="4"/>
      <c r="AT237" s="4"/>
      <c r="AU237" s="4"/>
      <c r="AV237" s="4"/>
      <c r="AW237" s="4"/>
      <c r="AX237" s="4"/>
      <c r="AY237" s="4"/>
      <c r="AZ237" s="4"/>
      <c r="BA237" s="4"/>
      <c r="BB237" s="4"/>
      <c r="BC237" s="135"/>
      <c r="BD237" s="4"/>
      <c r="BE237" s="4"/>
      <c r="BF237" s="4"/>
      <c r="BG237" s="4"/>
      <c r="BH237" s="4"/>
      <c r="BI237" s="4"/>
      <c r="BJ237" s="4"/>
      <c r="BK237" s="4"/>
      <c r="BL237" s="4"/>
      <c r="BM237" s="4"/>
      <c r="BN237" s="4"/>
      <c r="BO237" s="135"/>
      <c r="BP237" s="135"/>
      <c r="BQ237" s="135"/>
      <c r="BR237" s="4"/>
      <c r="BS237" s="4"/>
      <c r="BT237" s="118"/>
      <c r="BU237" s="4"/>
      <c r="BV237" s="4"/>
      <c r="BW237" s="4"/>
      <c r="BX237" s="4"/>
      <c r="BY237" s="4"/>
      <c r="BZ237" s="4"/>
      <c r="CA237" s="118"/>
      <c r="CB237" s="4"/>
      <c r="CC237" s="4"/>
      <c r="CD237" s="4"/>
      <c r="CE237" s="135"/>
      <c r="CF237" s="135"/>
      <c r="CG237" s="135"/>
      <c r="CH237" s="135"/>
      <c r="CI237" s="135"/>
      <c r="CJ237" s="135"/>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118"/>
      <c r="DU237" s="4"/>
      <c r="DV237" s="4"/>
      <c r="DW237" s="4"/>
      <c r="DX237" s="4"/>
      <c r="DY237" s="4"/>
      <c r="DZ237" s="4"/>
      <c r="EA237" s="4"/>
      <c r="EB237" s="4"/>
      <c r="EC237" s="4"/>
    </row>
    <row r="238" spans="1:133" s="1" customFormat="1" ht="30" customHeight="1" thickBot="1" x14ac:dyDescent="0.35">
      <c r="A238" s="7"/>
      <c r="B238" s="111" t="s">
        <v>164</v>
      </c>
      <c r="C238" s="112" t="s">
        <v>246</v>
      </c>
      <c r="D238" s="113"/>
      <c r="E238" s="114">
        <v>46362</v>
      </c>
      <c r="F238" s="114">
        <v>46362</v>
      </c>
      <c r="G238" s="31">
        <f t="shared" si="56"/>
        <v>1</v>
      </c>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118"/>
      <c r="AM238" s="4"/>
      <c r="AN238" s="4"/>
      <c r="AO238" s="4"/>
      <c r="AP238" s="4"/>
      <c r="AQ238" s="135"/>
      <c r="AR238" s="4"/>
      <c r="AS238" s="4"/>
      <c r="AT238" s="4"/>
      <c r="AU238" s="4"/>
      <c r="AV238" s="4"/>
      <c r="AW238" s="4"/>
      <c r="AX238" s="4"/>
      <c r="AY238" s="4"/>
      <c r="AZ238" s="4"/>
      <c r="BA238" s="4"/>
      <c r="BB238" s="4"/>
      <c r="BC238" s="135"/>
      <c r="BD238" s="4"/>
      <c r="BE238" s="4"/>
      <c r="BF238" s="4"/>
      <c r="BG238" s="4"/>
      <c r="BH238" s="4"/>
      <c r="BI238" s="4"/>
      <c r="BJ238" s="4"/>
      <c r="BK238" s="4"/>
      <c r="BL238" s="4"/>
      <c r="BM238" s="4"/>
      <c r="BN238" s="4"/>
      <c r="BO238" s="135"/>
      <c r="BP238" s="135"/>
      <c r="BQ238" s="135"/>
      <c r="BR238" s="4"/>
      <c r="BS238" s="4"/>
      <c r="BT238" s="118"/>
      <c r="BU238" s="4"/>
      <c r="BV238" s="4"/>
      <c r="BW238" s="4"/>
      <c r="BX238" s="4"/>
      <c r="BY238" s="4"/>
      <c r="BZ238" s="4"/>
      <c r="CA238" s="118"/>
      <c r="CB238" s="4"/>
      <c r="CC238" s="4"/>
      <c r="CD238" s="4"/>
      <c r="CE238" s="135"/>
      <c r="CF238" s="135"/>
      <c r="CG238" s="135"/>
      <c r="CH238" s="135"/>
      <c r="CI238" s="135"/>
      <c r="CJ238" s="135"/>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118"/>
      <c r="DU238" s="4"/>
      <c r="DV238" s="4"/>
      <c r="DW238" s="4"/>
      <c r="DX238" s="4"/>
      <c r="DY238" s="4"/>
      <c r="DZ238" s="4"/>
      <c r="EA238" s="4"/>
      <c r="EB238" s="4"/>
      <c r="EC238" s="4"/>
    </row>
    <row r="239" spans="1:133" s="1" customFormat="1" ht="30" customHeight="1" thickBot="1" x14ac:dyDescent="0.35">
      <c r="A239" s="7"/>
      <c r="B239" s="111" t="s">
        <v>165</v>
      </c>
      <c r="C239" s="112" t="s">
        <v>246</v>
      </c>
      <c r="D239" s="113"/>
      <c r="E239" s="114">
        <v>46362</v>
      </c>
      <c r="F239" s="114">
        <v>46362</v>
      </c>
      <c r="G239" s="31">
        <f t="shared" si="56"/>
        <v>1</v>
      </c>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118"/>
      <c r="AM239" s="4"/>
      <c r="AN239" s="4"/>
      <c r="AO239" s="4"/>
      <c r="AP239" s="4"/>
      <c r="AQ239" s="135"/>
      <c r="AR239" s="4"/>
      <c r="AS239" s="4"/>
      <c r="AT239" s="4"/>
      <c r="AU239" s="4"/>
      <c r="AV239" s="4"/>
      <c r="AW239" s="4"/>
      <c r="AX239" s="4"/>
      <c r="AY239" s="4"/>
      <c r="AZ239" s="4"/>
      <c r="BA239" s="4"/>
      <c r="BB239" s="4"/>
      <c r="BC239" s="135"/>
      <c r="BD239" s="4"/>
      <c r="BE239" s="4"/>
      <c r="BF239" s="4"/>
      <c r="BG239" s="4"/>
      <c r="BH239" s="4"/>
      <c r="BI239" s="4"/>
      <c r="BJ239" s="4"/>
      <c r="BK239" s="4"/>
      <c r="BL239" s="4"/>
      <c r="BM239" s="4"/>
      <c r="BN239" s="4"/>
      <c r="BO239" s="135"/>
      <c r="BP239" s="135"/>
      <c r="BQ239" s="135"/>
      <c r="BR239" s="4"/>
      <c r="BS239" s="4"/>
      <c r="BT239" s="118"/>
      <c r="BU239" s="4"/>
      <c r="BV239" s="4"/>
      <c r="BW239" s="4"/>
      <c r="BX239" s="4"/>
      <c r="BY239" s="4"/>
      <c r="BZ239" s="4"/>
      <c r="CA239" s="118"/>
      <c r="CB239" s="4"/>
      <c r="CC239" s="4"/>
      <c r="CD239" s="4"/>
      <c r="CE239" s="135"/>
      <c r="CF239" s="135"/>
      <c r="CG239" s="135"/>
      <c r="CH239" s="135"/>
      <c r="CI239" s="135"/>
      <c r="CJ239" s="135"/>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118"/>
      <c r="DU239" s="4"/>
      <c r="DV239" s="4"/>
      <c r="DW239" s="4"/>
      <c r="DX239" s="4"/>
      <c r="DY239" s="4"/>
      <c r="DZ239" s="4"/>
      <c r="EA239" s="4"/>
      <c r="EB239" s="4"/>
      <c r="EC239" s="4"/>
    </row>
    <row r="240" spans="1:133" s="1" customFormat="1" ht="30" customHeight="1" thickBot="1" x14ac:dyDescent="0.35">
      <c r="A240" s="7"/>
      <c r="B240" s="111" t="s">
        <v>166</v>
      </c>
      <c r="C240" s="112" t="s">
        <v>246</v>
      </c>
      <c r="D240" s="113"/>
      <c r="E240" s="114">
        <v>46362</v>
      </c>
      <c r="F240" s="114">
        <v>46362</v>
      </c>
      <c r="G240" s="31">
        <f t="shared" si="56"/>
        <v>1</v>
      </c>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118"/>
      <c r="AM240" s="4"/>
      <c r="AN240" s="4"/>
      <c r="AO240" s="4"/>
      <c r="AP240" s="4"/>
      <c r="AQ240" s="135"/>
      <c r="AR240" s="4"/>
      <c r="AS240" s="4"/>
      <c r="AT240" s="4"/>
      <c r="AU240" s="4"/>
      <c r="AV240" s="4"/>
      <c r="AW240" s="4"/>
      <c r="AX240" s="4"/>
      <c r="AY240" s="4"/>
      <c r="AZ240" s="4"/>
      <c r="BA240" s="4"/>
      <c r="BB240" s="4"/>
      <c r="BC240" s="135"/>
      <c r="BD240" s="4"/>
      <c r="BE240" s="4"/>
      <c r="BF240" s="4"/>
      <c r="BG240" s="4"/>
      <c r="BH240" s="4"/>
      <c r="BI240" s="4"/>
      <c r="BJ240" s="4"/>
      <c r="BK240" s="4"/>
      <c r="BL240" s="4"/>
      <c r="BM240" s="4"/>
      <c r="BN240" s="4"/>
      <c r="BO240" s="135"/>
      <c r="BP240" s="135"/>
      <c r="BQ240" s="135"/>
      <c r="BR240" s="4"/>
      <c r="BS240" s="4"/>
      <c r="BT240" s="118"/>
      <c r="BU240" s="4"/>
      <c r="BV240" s="4"/>
      <c r="BW240" s="4"/>
      <c r="BX240" s="4"/>
      <c r="BY240" s="4"/>
      <c r="BZ240" s="4"/>
      <c r="CA240" s="118"/>
      <c r="CB240" s="4"/>
      <c r="CC240" s="4"/>
      <c r="CD240" s="4"/>
      <c r="CE240" s="135"/>
      <c r="CF240" s="135"/>
      <c r="CG240" s="135"/>
      <c r="CH240" s="135"/>
      <c r="CI240" s="135"/>
      <c r="CJ240" s="135"/>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118"/>
      <c r="DU240" s="4"/>
      <c r="DV240" s="4"/>
      <c r="DW240" s="4"/>
      <c r="DX240" s="4"/>
      <c r="DY240" s="4"/>
      <c r="DZ240" s="4"/>
      <c r="EA240" s="4"/>
      <c r="EB240" s="4"/>
      <c r="EC240" s="4"/>
    </row>
    <row r="241" spans="1:133" s="1" customFormat="1" ht="30" customHeight="1" thickBot="1" x14ac:dyDescent="0.35">
      <c r="A241" s="7"/>
      <c r="B241" s="111" t="s">
        <v>167</v>
      </c>
      <c r="C241" s="112" t="s">
        <v>246</v>
      </c>
      <c r="D241" s="113"/>
      <c r="E241" s="114">
        <v>46363</v>
      </c>
      <c r="F241" s="114">
        <v>46363</v>
      </c>
      <c r="G241" s="31">
        <f t="shared" si="56"/>
        <v>1</v>
      </c>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118"/>
      <c r="AM241" s="4"/>
      <c r="AN241" s="4"/>
      <c r="AO241" s="4"/>
      <c r="AP241" s="4"/>
      <c r="AQ241" s="135"/>
      <c r="AR241" s="4"/>
      <c r="AS241" s="4"/>
      <c r="AT241" s="4"/>
      <c r="AU241" s="4"/>
      <c r="AV241" s="4"/>
      <c r="AW241" s="4"/>
      <c r="AX241" s="4"/>
      <c r="AY241" s="4"/>
      <c r="AZ241" s="4"/>
      <c r="BA241" s="4"/>
      <c r="BB241" s="4"/>
      <c r="BC241" s="135"/>
      <c r="BD241" s="4"/>
      <c r="BE241" s="4"/>
      <c r="BF241" s="4"/>
      <c r="BG241" s="4"/>
      <c r="BH241" s="4"/>
      <c r="BI241" s="4"/>
      <c r="BJ241" s="4"/>
      <c r="BK241" s="4"/>
      <c r="BL241" s="4"/>
      <c r="BM241" s="4"/>
      <c r="BN241" s="4"/>
      <c r="BO241" s="135"/>
      <c r="BP241" s="135"/>
      <c r="BQ241" s="135"/>
      <c r="BR241" s="4"/>
      <c r="BS241" s="4"/>
      <c r="BT241" s="118"/>
      <c r="BU241" s="4"/>
      <c r="BV241" s="4"/>
      <c r="BW241" s="4"/>
      <c r="BX241" s="4"/>
      <c r="BY241" s="4"/>
      <c r="BZ241" s="4"/>
      <c r="CA241" s="118"/>
      <c r="CB241" s="4"/>
      <c r="CC241" s="4"/>
      <c r="CD241" s="4"/>
      <c r="CE241" s="135"/>
      <c r="CF241" s="135"/>
      <c r="CG241" s="135"/>
      <c r="CH241" s="135"/>
      <c r="CI241" s="135"/>
      <c r="CJ241" s="135"/>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118"/>
      <c r="DU241" s="4"/>
      <c r="DV241" s="4"/>
      <c r="DW241" s="4"/>
      <c r="DX241" s="4"/>
      <c r="DY241" s="4"/>
      <c r="DZ241" s="4"/>
      <c r="EA241" s="4"/>
      <c r="EB241" s="4"/>
      <c r="EC241" s="4"/>
    </row>
    <row r="242" spans="1:133" s="1" customFormat="1" ht="30" customHeight="1" thickBot="1" x14ac:dyDescent="0.35">
      <c r="A242" s="7"/>
      <c r="B242" s="111" t="s">
        <v>168</v>
      </c>
      <c r="C242" s="112" t="s">
        <v>246</v>
      </c>
      <c r="D242" s="113"/>
      <c r="E242" s="114">
        <v>46363</v>
      </c>
      <c r="F242" s="114">
        <v>46363</v>
      </c>
      <c r="G242" s="31">
        <f t="shared" si="56"/>
        <v>1</v>
      </c>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118"/>
      <c r="AM242" s="4"/>
      <c r="AN242" s="4"/>
      <c r="AO242" s="4"/>
      <c r="AP242" s="4"/>
      <c r="AQ242" s="135"/>
      <c r="AR242" s="4"/>
      <c r="AS242" s="4"/>
      <c r="AT242" s="4"/>
      <c r="AU242" s="4"/>
      <c r="AV242" s="4"/>
      <c r="AW242" s="4"/>
      <c r="AX242" s="4"/>
      <c r="AY242" s="4"/>
      <c r="AZ242" s="4"/>
      <c r="BA242" s="4"/>
      <c r="BB242" s="4"/>
      <c r="BC242" s="135"/>
      <c r="BD242" s="4"/>
      <c r="BE242" s="4"/>
      <c r="BF242" s="4"/>
      <c r="BG242" s="4"/>
      <c r="BH242" s="4"/>
      <c r="BI242" s="4"/>
      <c r="BJ242" s="4"/>
      <c r="BK242" s="4"/>
      <c r="BL242" s="4"/>
      <c r="BM242" s="4"/>
      <c r="BN242" s="4"/>
      <c r="BO242" s="135"/>
      <c r="BP242" s="135"/>
      <c r="BQ242" s="135"/>
      <c r="BR242" s="4"/>
      <c r="BS242" s="4"/>
      <c r="BT242" s="118"/>
      <c r="BU242" s="4"/>
      <c r="BV242" s="4"/>
      <c r="BW242" s="4"/>
      <c r="BX242" s="4"/>
      <c r="BY242" s="4"/>
      <c r="BZ242" s="4"/>
      <c r="CA242" s="118"/>
      <c r="CB242" s="4"/>
      <c r="CC242" s="4"/>
      <c r="CD242" s="4"/>
      <c r="CE242" s="135"/>
      <c r="CF242" s="135"/>
      <c r="CG242" s="135"/>
      <c r="CH242" s="135"/>
      <c r="CI242" s="135"/>
      <c r="CJ242" s="135"/>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118"/>
      <c r="DU242" s="4"/>
      <c r="DV242" s="4"/>
      <c r="DW242" s="4"/>
      <c r="DX242" s="4"/>
      <c r="DY242" s="4"/>
      <c r="DZ242" s="4"/>
      <c r="EA242" s="4"/>
      <c r="EB242" s="4"/>
      <c r="EC242" s="4"/>
    </row>
    <row r="243" spans="1:133" s="1" customFormat="1" ht="30" customHeight="1" thickBot="1" x14ac:dyDescent="0.35">
      <c r="A243" s="7"/>
      <c r="B243" s="111" t="s">
        <v>170</v>
      </c>
      <c r="C243" s="112" t="s">
        <v>246</v>
      </c>
      <c r="D243" s="113"/>
      <c r="E243" s="114">
        <v>46363</v>
      </c>
      <c r="F243" s="114">
        <v>46363</v>
      </c>
      <c r="G243" s="31">
        <f t="shared" si="56"/>
        <v>1</v>
      </c>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118"/>
      <c r="AM243" s="4"/>
      <c r="AN243" s="4"/>
      <c r="AO243" s="4"/>
      <c r="AP243" s="4"/>
      <c r="AQ243" s="135"/>
      <c r="AR243" s="4"/>
      <c r="AS243" s="4"/>
      <c r="AT243" s="4"/>
      <c r="AU243" s="4"/>
      <c r="AV243" s="4"/>
      <c r="AW243" s="4"/>
      <c r="AX243" s="4"/>
      <c r="AY243" s="4"/>
      <c r="AZ243" s="4"/>
      <c r="BA243" s="4"/>
      <c r="BB243" s="4"/>
      <c r="BC243" s="135"/>
      <c r="BD243" s="4"/>
      <c r="BE243" s="4"/>
      <c r="BF243" s="4"/>
      <c r="BG243" s="4"/>
      <c r="BH243" s="4"/>
      <c r="BI243" s="4"/>
      <c r="BJ243" s="4"/>
      <c r="BK243" s="4"/>
      <c r="BL243" s="4"/>
      <c r="BM243" s="4"/>
      <c r="BN243" s="4"/>
      <c r="BO243" s="135"/>
      <c r="BP243" s="135"/>
      <c r="BQ243" s="135"/>
      <c r="BR243" s="4"/>
      <c r="BS243" s="4"/>
      <c r="BT243" s="118"/>
      <c r="BU243" s="4"/>
      <c r="BV243" s="4"/>
      <c r="BW243" s="4"/>
      <c r="BX243" s="4"/>
      <c r="BY243" s="4"/>
      <c r="BZ243" s="4"/>
      <c r="CA243" s="118"/>
      <c r="CB243" s="4"/>
      <c r="CC243" s="4"/>
      <c r="CD243" s="4"/>
      <c r="CE243" s="135"/>
      <c r="CF243" s="135"/>
      <c r="CG243" s="135"/>
      <c r="CH243" s="135"/>
      <c r="CI243" s="135"/>
      <c r="CJ243" s="135"/>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118"/>
      <c r="DU243" s="4"/>
      <c r="DV243" s="4"/>
      <c r="DW243" s="4"/>
      <c r="DX243" s="4"/>
      <c r="DY243" s="4"/>
      <c r="DZ243" s="4"/>
      <c r="EA243" s="4"/>
      <c r="EB243" s="4"/>
      <c r="EC243" s="4"/>
    </row>
    <row r="244" spans="1:133" s="1" customFormat="1" ht="30" customHeight="1" thickBot="1" x14ac:dyDescent="0.35">
      <c r="A244" s="7"/>
      <c r="B244" s="111" t="s">
        <v>169</v>
      </c>
      <c r="C244" s="112" t="s">
        <v>246</v>
      </c>
      <c r="D244" s="113"/>
      <c r="E244" s="114">
        <v>46364</v>
      </c>
      <c r="F244" s="114">
        <v>46364</v>
      </c>
      <c r="G244" s="31">
        <f t="shared" si="56"/>
        <v>1</v>
      </c>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118"/>
      <c r="AM244" s="4"/>
      <c r="AN244" s="4"/>
      <c r="AO244" s="4"/>
      <c r="AP244" s="4"/>
      <c r="AQ244" s="135"/>
      <c r="AR244" s="4"/>
      <c r="AS244" s="4"/>
      <c r="AT244" s="4"/>
      <c r="AU244" s="4"/>
      <c r="AV244" s="4"/>
      <c r="AW244" s="4"/>
      <c r="AX244" s="4"/>
      <c r="AY244" s="4"/>
      <c r="AZ244" s="4"/>
      <c r="BA244" s="4"/>
      <c r="BB244" s="4"/>
      <c r="BC244" s="135"/>
      <c r="BD244" s="4"/>
      <c r="BE244" s="4"/>
      <c r="BF244" s="4"/>
      <c r="BG244" s="4"/>
      <c r="BH244" s="4"/>
      <c r="BI244" s="4"/>
      <c r="BJ244" s="4"/>
      <c r="BK244" s="4"/>
      <c r="BL244" s="4"/>
      <c r="BM244" s="4"/>
      <c r="BN244" s="4"/>
      <c r="BO244" s="135"/>
      <c r="BP244" s="135"/>
      <c r="BQ244" s="135"/>
      <c r="BR244" s="4"/>
      <c r="BS244" s="4"/>
      <c r="BT244" s="118"/>
      <c r="BU244" s="4"/>
      <c r="BV244" s="4"/>
      <c r="BW244" s="4"/>
      <c r="BX244" s="4"/>
      <c r="BY244" s="4"/>
      <c r="BZ244" s="4"/>
      <c r="CA244" s="118"/>
      <c r="CB244" s="4"/>
      <c r="CC244" s="4"/>
      <c r="CD244" s="4"/>
      <c r="CE244" s="135"/>
      <c r="CF244" s="135"/>
      <c r="CG244" s="135"/>
      <c r="CH244" s="135"/>
      <c r="CI244" s="135"/>
      <c r="CJ244" s="135"/>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118"/>
      <c r="DU244" s="4"/>
      <c r="DV244" s="4"/>
      <c r="DW244" s="4"/>
      <c r="DX244" s="4"/>
      <c r="DY244" s="4"/>
      <c r="DZ244" s="4"/>
      <c r="EA244" s="4"/>
      <c r="EB244" s="4"/>
      <c r="EC244" s="4"/>
    </row>
    <row r="245" spans="1:133" s="1" customFormat="1" ht="30" customHeight="1" thickBot="1" x14ac:dyDescent="0.35">
      <c r="A245" s="7"/>
      <c r="B245" s="111" t="s">
        <v>209</v>
      </c>
      <c r="C245" s="112" t="s">
        <v>246</v>
      </c>
      <c r="D245" s="113"/>
      <c r="E245" s="114">
        <v>46364</v>
      </c>
      <c r="F245" s="114">
        <v>46364</v>
      </c>
      <c r="G245" s="31">
        <f t="shared" si="56"/>
        <v>1</v>
      </c>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118"/>
      <c r="AM245" s="4"/>
      <c r="AN245" s="4"/>
      <c r="AO245" s="4"/>
      <c r="AP245" s="4"/>
      <c r="AQ245" s="135"/>
      <c r="AR245" s="4"/>
      <c r="AS245" s="4"/>
      <c r="AT245" s="4"/>
      <c r="AU245" s="4"/>
      <c r="AV245" s="4"/>
      <c r="AW245" s="4"/>
      <c r="AX245" s="4"/>
      <c r="AY245" s="4"/>
      <c r="AZ245" s="4"/>
      <c r="BA245" s="4"/>
      <c r="BB245" s="4"/>
      <c r="BC245" s="135"/>
      <c r="BD245" s="4"/>
      <c r="BE245" s="4"/>
      <c r="BF245" s="4"/>
      <c r="BG245" s="4"/>
      <c r="BH245" s="4"/>
      <c r="BI245" s="4"/>
      <c r="BJ245" s="4"/>
      <c r="BK245" s="4"/>
      <c r="BL245" s="4"/>
      <c r="BM245" s="4"/>
      <c r="BN245" s="4"/>
      <c r="BO245" s="135"/>
      <c r="BP245" s="135"/>
      <c r="BQ245" s="135"/>
      <c r="BR245" s="4"/>
      <c r="BS245" s="4"/>
      <c r="BT245" s="118"/>
      <c r="BU245" s="4"/>
      <c r="BV245" s="4"/>
      <c r="BW245" s="4"/>
      <c r="BX245" s="4"/>
      <c r="BY245" s="4"/>
      <c r="BZ245" s="4"/>
      <c r="CA245" s="118"/>
      <c r="CB245" s="4"/>
      <c r="CC245" s="4"/>
      <c r="CD245" s="4"/>
      <c r="CE245" s="135"/>
      <c r="CF245" s="135"/>
      <c r="CG245" s="135"/>
      <c r="CH245" s="135"/>
      <c r="CI245" s="135"/>
      <c r="CJ245" s="135"/>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118"/>
      <c r="DU245" s="4"/>
      <c r="DV245" s="4"/>
      <c r="DW245" s="4"/>
      <c r="DX245" s="4"/>
      <c r="DY245" s="4"/>
      <c r="DZ245" s="4"/>
      <c r="EA245" s="4"/>
      <c r="EB245" s="4"/>
      <c r="EC245" s="4"/>
    </row>
    <row r="246" spans="1:133" s="1" customFormat="1" ht="30" customHeight="1" thickBot="1" x14ac:dyDescent="0.35">
      <c r="A246" s="7"/>
      <c r="B246" s="111" t="s">
        <v>210</v>
      </c>
      <c r="C246" s="112" t="s">
        <v>246</v>
      </c>
      <c r="D246" s="113"/>
      <c r="E246" s="114">
        <v>46364</v>
      </c>
      <c r="F246" s="114">
        <v>46364</v>
      </c>
      <c r="G246" s="31">
        <f t="shared" si="56"/>
        <v>1</v>
      </c>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118"/>
      <c r="AM246" s="4"/>
      <c r="AN246" s="4"/>
      <c r="AO246" s="4"/>
      <c r="AP246" s="4"/>
      <c r="AQ246" s="135"/>
      <c r="AR246" s="4"/>
      <c r="AS246" s="4"/>
      <c r="AT246" s="4"/>
      <c r="AU246" s="4"/>
      <c r="AV246" s="4"/>
      <c r="AW246" s="4"/>
      <c r="AX246" s="4"/>
      <c r="AY246" s="4"/>
      <c r="AZ246" s="4"/>
      <c r="BA246" s="4"/>
      <c r="BB246" s="4"/>
      <c r="BC246" s="135"/>
      <c r="BD246" s="4"/>
      <c r="BE246" s="4"/>
      <c r="BF246" s="4"/>
      <c r="BG246" s="4"/>
      <c r="BH246" s="4"/>
      <c r="BI246" s="4"/>
      <c r="BJ246" s="4"/>
      <c r="BK246" s="4"/>
      <c r="BL246" s="4"/>
      <c r="BM246" s="4"/>
      <c r="BN246" s="4"/>
      <c r="BO246" s="135"/>
      <c r="BP246" s="135"/>
      <c r="BQ246" s="135"/>
      <c r="BR246" s="4"/>
      <c r="BS246" s="4"/>
      <c r="BT246" s="118"/>
      <c r="BU246" s="4"/>
      <c r="BV246" s="4"/>
      <c r="BW246" s="4"/>
      <c r="BX246" s="4"/>
      <c r="BY246" s="4"/>
      <c r="BZ246" s="4"/>
      <c r="CA246" s="118"/>
      <c r="CB246" s="4"/>
      <c r="CC246" s="4"/>
      <c r="CD246" s="4"/>
      <c r="CE246" s="135"/>
      <c r="CF246" s="135"/>
      <c r="CG246" s="135"/>
      <c r="CH246" s="135"/>
      <c r="CI246" s="135"/>
      <c r="CJ246" s="135"/>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118"/>
      <c r="DU246" s="4"/>
      <c r="DV246" s="4"/>
      <c r="DW246" s="4"/>
      <c r="DX246" s="4"/>
      <c r="DY246" s="4"/>
      <c r="DZ246" s="4"/>
      <c r="EA246" s="4"/>
      <c r="EB246" s="4"/>
      <c r="EC246" s="4"/>
    </row>
    <row r="247" spans="1:133" s="1" customFormat="1" ht="30" customHeight="1" thickBot="1" x14ac:dyDescent="0.35">
      <c r="A247" s="7"/>
      <c r="B247" s="111" t="s">
        <v>211</v>
      </c>
      <c r="C247" s="112" t="s">
        <v>246</v>
      </c>
      <c r="D247" s="113"/>
      <c r="E247" s="114">
        <v>46365</v>
      </c>
      <c r="F247" s="114">
        <v>46365</v>
      </c>
      <c r="G247" s="31">
        <f t="shared" si="56"/>
        <v>1</v>
      </c>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118"/>
      <c r="AM247" s="4"/>
      <c r="AN247" s="4"/>
      <c r="AO247" s="4"/>
      <c r="AP247" s="4"/>
      <c r="AQ247" s="135"/>
      <c r="AR247" s="4"/>
      <c r="AS247" s="4"/>
      <c r="AT247" s="4"/>
      <c r="AU247" s="4"/>
      <c r="AV247" s="4"/>
      <c r="AW247" s="4"/>
      <c r="AX247" s="4"/>
      <c r="AY247" s="4"/>
      <c r="AZ247" s="4"/>
      <c r="BA247" s="4"/>
      <c r="BB247" s="4"/>
      <c r="BC247" s="135"/>
      <c r="BD247" s="4"/>
      <c r="BE247" s="4"/>
      <c r="BF247" s="4"/>
      <c r="BG247" s="4"/>
      <c r="BH247" s="4"/>
      <c r="BI247" s="4"/>
      <c r="BJ247" s="4"/>
      <c r="BK247" s="4"/>
      <c r="BL247" s="4"/>
      <c r="BM247" s="4"/>
      <c r="BN247" s="4"/>
      <c r="BO247" s="135"/>
      <c r="BP247" s="135"/>
      <c r="BQ247" s="135"/>
      <c r="BR247" s="4"/>
      <c r="BS247" s="4"/>
      <c r="BT247" s="118"/>
      <c r="BU247" s="4"/>
      <c r="BV247" s="4"/>
      <c r="BW247" s="4"/>
      <c r="BX247" s="4"/>
      <c r="BY247" s="4"/>
      <c r="BZ247" s="4"/>
      <c r="CA247" s="118"/>
      <c r="CB247" s="4"/>
      <c r="CC247" s="4"/>
      <c r="CD247" s="4"/>
      <c r="CE247" s="135"/>
      <c r="CF247" s="135"/>
      <c r="CG247" s="135"/>
      <c r="CH247" s="135"/>
      <c r="CI247" s="135"/>
      <c r="CJ247" s="135"/>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118"/>
      <c r="DU247" s="4"/>
      <c r="DV247" s="4"/>
      <c r="DW247" s="4"/>
      <c r="DX247" s="4"/>
      <c r="DY247" s="4"/>
      <c r="DZ247" s="4"/>
      <c r="EA247" s="4"/>
      <c r="EB247" s="4"/>
      <c r="EC247" s="4"/>
    </row>
    <row r="248" spans="1:133" s="1" customFormat="1" ht="30" customHeight="1" thickBot="1" x14ac:dyDescent="0.35">
      <c r="A248" s="7"/>
      <c r="B248" s="111" t="s">
        <v>212</v>
      </c>
      <c r="C248" s="112" t="s">
        <v>246</v>
      </c>
      <c r="D248" s="113"/>
      <c r="E248" s="114">
        <v>46365</v>
      </c>
      <c r="F248" s="114">
        <v>46365</v>
      </c>
      <c r="G248" s="31">
        <f t="shared" si="56"/>
        <v>1</v>
      </c>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118"/>
      <c r="AM248" s="4"/>
      <c r="AN248" s="4"/>
      <c r="AO248" s="4"/>
      <c r="AP248" s="4"/>
      <c r="AQ248" s="135"/>
      <c r="AR248" s="4"/>
      <c r="AS248" s="4"/>
      <c r="AT248" s="4"/>
      <c r="AU248" s="4"/>
      <c r="AV248" s="4"/>
      <c r="AW248" s="4"/>
      <c r="AX248" s="4"/>
      <c r="AY248" s="4"/>
      <c r="AZ248" s="4"/>
      <c r="BA248" s="4"/>
      <c r="BB248" s="4"/>
      <c r="BC248" s="135"/>
      <c r="BD248" s="4"/>
      <c r="BE248" s="4"/>
      <c r="BF248" s="4"/>
      <c r="BG248" s="4"/>
      <c r="BH248" s="4"/>
      <c r="BI248" s="4"/>
      <c r="BJ248" s="4"/>
      <c r="BK248" s="4"/>
      <c r="BL248" s="4"/>
      <c r="BM248" s="4"/>
      <c r="BN248" s="4"/>
      <c r="BO248" s="135"/>
      <c r="BP248" s="135"/>
      <c r="BQ248" s="135"/>
      <c r="BR248" s="4"/>
      <c r="BS248" s="4"/>
      <c r="BT248" s="118"/>
      <c r="BU248" s="4"/>
      <c r="BV248" s="4"/>
      <c r="BW248" s="4"/>
      <c r="BX248" s="4"/>
      <c r="BY248" s="4"/>
      <c r="BZ248" s="4"/>
      <c r="CA248" s="118"/>
      <c r="CB248" s="4"/>
      <c r="CC248" s="4"/>
      <c r="CD248" s="4"/>
      <c r="CE248" s="135"/>
      <c r="CF248" s="135"/>
      <c r="CG248" s="135"/>
      <c r="CH248" s="135"/>
      <c r="CI248" s="135"/>
      <c r="CJ248" s="135"/>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118"/>
      <c r="DU248" s="4"/>
      <c r="DV248" s="4"/>
      <c r="DW248" s="4"/>
      <c r="DX248" s="4"/>
      <c r="DY248" s="4"/>
      <c r="DZ248" s="4"/>
      <c r="EA248" s="4"/>
      <c r="EB248" s="4"/>
      <c r="EC248" s="4"/>
    </row>
    <row r="249" spans="1:133" s="1" customFormat="1" ht="30" customHeight="1" thickBot="1" x14ac:dyDescent="0.35">
      <c r="A249" s="7"/>
      <c r="B249" s="111" t="s">
        <v>213</v>
      </c>
      <c r="C249" s="112" t="s">
        <v>246</v>
      </c>
      <c r="D249" s="113"/>
      <c r="E249" s="114">
        <v>46366</v>
      </c>
      <c r="F249" s="114">
        <v>46366</v>
      </c>
      <c r="G249" s="31">
        <f t="shared" si="56"/>
        <v>1</v>
      </c>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118"/>
      <c r="AM249" s="4"/>
      <c r="AN249" s="4"/>
      <c r="AO249" s="4"/>
      <c r="AP249" s="4"/>
      <c r="AQ249" s="135"/>
      <c r="AR249" s="4"/>
      <c r="AS249" s="4"/>
      <c r="AT249" s="4"/>
      <c r="AU249" s="4"/>
      <c r="AV249" s="4"/>
      <c r="AW249" s="4"/>
      <c r="AX249" s="4"/>
      <c r="AY249" s="4"/>
      <c r="AZ249" s="4"/>
      <c r="BA249" s="4"/>
      <c r="BB249" s="4"/>
      <c r="BC249" s="135"/>
      <c r="BD249" s="4"/>
      <c r="BE249" s="4"/>
      <c r="BF249" s="4"/>
      <c r="BG249" s="4"/>
      <c r="BH249" s="4"/>
      <c r="BI249" s="4"/>
      <c r="BJ249" s="4"/>
      <c r="BK249" s="4"/>
      <c r="BL249" s="4"/>
      <c r="BM249" s="4"/>
      <c r="BN249" s="4"/>
      <c r="BO249" s="135"/>
      <c r="BP249" s="135"/>
      <c r="BQ249" s="135"/>
      <c r="BR249" s="4"/>
      <c r="BS249" s="4"/>
      <c r="BT249" s="118"/>
      <c r="BU249" s="4"/>
      <c r="BV249" s="4"/>
      <c r="BW249" s="4"/>
      <c r="BX249" s="4"/>
      <c r="BY249" s="4"/>
      <c r="BZ249" s="4"/>
      <c r="CA249" s="118"/>
      <c r="CB249" s="4"/>
      <c r="CC249" s="4"/>
      <c r="CD249" s="4"/>
      <c r="CE249" s="135"/>
      <c r="CF249" s="135"/>
      <c r="CG249" s="135"/>
      <c r="CH249" s="135"/>
      <c r="CI249" s="135"/>
      <c r="CJ249" s="135"/>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118"/>
      <c r="DU249" s="4"/>
      <c r="DV249" s="4"/>
      <c r="DW249" s="4"/>
      <c r="DX249" s="4"/>
      <c r="DY249" s="4"/>
      <c r="DZ249" s="4"/>
      <c r="EA249" s="4"/>
      <c r="EB249" s="4"/>
      <c r="EC249" s="4"/>
    </row>
    <row r="250" spans="1:133" s="1" customFormat="1" ht="30" customHeight="1" thickBot="1" x14ac:dyDescent="0.35">
      <c r="A250" s="7"/>
      <c r="B250" s="111" t="s">
        <v>214</v>
      </c>
      <c r="C250" s="112" t="s">
        <v>246</v>
      </c>
      <c r="D250" s="113"/>
      <c r="E250" s="114">
        <v>46367</v>
      </c>
      <c r="F250" s="114">
        <v>46367</v>
      </c>
      <c r="G250" s="31">
        <f t="shared" si="56"/>
        <v>1</v>
      </c>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118"/>
      <c r="AM250" s="4"/>
      <c r="AN250" s="4"/>
      <c r="AO250" s="4"/>
      <c r="AP250" s="4"/>
      <c r="AQ250" s="135"/>
      <c r="AR250" s="4"/>
      <c r="AS250" s="4"/>
      <c r="AT250" s="4"/>
      <c r="AU250" s="4"/>
      <c r="AV250" s="4"/>
      <c r="AW250" s="4"/>
      <c r="AX250" s="4"/>
      <c r="AY250" s="4"/>
      <c r="AZ250" s="4"/>
      <c r="BA250" s="4"/>
      <c r="BB250" s="4"/>
      <c r="BC250" s="135"/>
      <c r="BD250" s="4"/>
      <c r="BE250" s="4"/>
      <c r="BF250" s="4"/>
      <c r="BG250" s="4"/>
      <c r="BH250" s="4"/>
      <c r="BI250" s="4"/>
      <c r="BJ250" s="4"/>
      <c r="BK250" s="4"/>
      <c r="BL250" s="4"/>
      <c r="BM250" s="4"/>
      <c r="BN250" s="4"/>
      <c r="BO250" s="135"/>
      <c r="BP250" s="135"/>
      <c r="BQ250" s="135"/>
      <c r="BR250" s="4"/>
      <c r="BS250" s="4"/>
      <c r="BT250" s="118"/>
      <c r="BU250" s="4"/>
      <c r="BV250" s="4"/>
      <c r="BW250" s="4"/>
      <c r="BX250" s="4"/>
      <c r="BY250" s="4"/>
      <c r="BZ250" s="4"/>
      <c r="CA250" s="118"/>
      <c r="CB250" s="4"/>
      <c r="CC250" s="4"/>
      <c r="CD250" s="4"/>
      <c r="CE250" s="135"/>
      <c r="CF250" s="135"/>
      <c r="CG250" s="135"/>
      <c r="CH250" s="135"/>
      <c r="CI250" s="135"/>
      <c r="CJ250" s="135"/>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118"/>
      <c r="DU250" s="4"/>
      <c r="DV250" s="4"/>
      <c r="DW250" s="4"/>
      <c r="DX250" s="4"/>
      <c r="DY250" s="4"/>
      <c r="DZ250" s="4"/>
      <c r="EA250" s="4"/>
      <c r="EB250" s="4"/>
      <c r="EC250" s="4"/>
    </row>
    <row r="251" spans="1:133" s="1" customFormat="1" ht="30" customHeight="1" thickBot="1" x14ac:dyDescent="0.35">
      <c r="A251" s="7"/>
      <c r="B251" s="106" t="s">
        <v>215</v>
      </c>
      <c r="C251" s="107"/>
      <c r="D251" s="108"/>
      <c r="E251" s="109"/>
      <c r="F251" s="110"/>
      <c r="G251" s="31" t="str">
        <f t="shared" si="56"/>
        <v/>
      </c>
      <c r="H251" s="4"/>
      <c r="I251" s="105"/>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118"/>
      <c r="AM251" s="4"/>
      <c r="AN251" s="4"/>
      <c r="AO251" s="4"/>
      <c r="AP251" s="4"/>
      <c r="AQ251" s="135"/>
      <c r="AR251" s="4"/>
      <c r="AS251" s="4"/>
      <c r="AT251" s="4"/>
      <c r="AU251" s="4"/>
      <c r="AV251" s="4"/>
      <c r="AW251" s="4"/>
      <c r="AX251" s="4"/>
      <c r="AY251" s="4"/>
      <c r="AZ251" s="4"/>
      <c r="BA251" s="4"/>
      <c r="BB251" s="4"/>
      <c r="BC251" s="135"/>
      <c r="BD251" s="4"/>
      <c r="BE251" s="4"/>
      <c r="BF251" s="4"/>
      <c r="BG251" s="4"/>
      <c r="BH251" s="4"/>
      <c r="BI251" s="4"/>
      <c r="BJ251" s="4"/>
      <c r="BK251" s="4"/>
      <c r="BL251" s="4"/>
      <c r="BM251" s="4"/>
      <c r="BN251" s="4"/>
      <c r="BO251" s="135"/>
      <c r="BP251" s="135"/>
      <c r="BQ251" s="135"/>
      <c r="BR251" s="4"/>
      <c r="BS251" s="4"/>
      <c r="BT251" s="118"/>
      <c r="BU251" s="4"/>
      <c r="BV251" s="4"/>
      <c r="BW251" s="4"/>
      <c r="BX251" s="4"/>
      <c r="BY251" s="4"/>
      <c r="BZ251" s="4"/>
      <c r="CA251" s="118"/>
      <c r="CB251" s="4"/>
      <c r="CC251" s="4"/>
      <c r="CD251" s="4"/>
      <c r="CE251" s="135"/>
      <c r="CF251" s="135"/>
      <c r="CG251" s="135"/>
      <c r="CH251" s="135"/>
      <c r="CI251" s="135"/>
      <c r="CJ251" s="135"/>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118"/>
      <c r="DU251" s="4"/>
      <c r="DV251" s="4"/>
      <c r="DW251" s="4"/>
      <c r="DX251" s="4"/>
      <c r="DY251" s="4"/>
      <c r="DZ251" s="4"/>
      <c r="EA251" s="4"/>
      <c r="EB251" s="4"/>
      <c r="EC251" s="4"/>
    </row>
    <row r="252" spans="1:133" s="1" customFormat="1" ht="30" customHeight="1" thickBot="1" x14ac:dyDescent="0.35">
      <c r="A252" s="7"/>
      <c r="B252" s="111" t="s">
        <v>216</v>
      </c>
      <c r="C252" s="112" t="s">
        <v>246</v>
      </c>
      <c r="D252" s="113"/>
      <c r="E252" s="114">
        <v>46368</v>
      </c>
      <c r="F252" s="114">
        <v>46368</v>
      </c>
      <c r="G252" s="31">
        <f t="shared" si="56"/>
        <v>1</v>
      </c>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118"/>
      <c r="AM252" s="4"/>
      <c r="AN252" s="4"/>
      <c r="AO252" s="4"/>
      <c r="AP252" s="4"/>
      <c r="AQ252" s="135"/>
      <c r="AR252" s="4"/>
      <c r="AS252" s="4"/>
      <c r="AT252" s="4"/>
      <c r="AU252" s="4"/>
      <c r="AV252" s="4"/>
      <c r="AW252" s="4"/>
      <c r="AX252" s="4"/>
      <c r="AY252" s="4"/>
      <c r="AZ252" s="4"/>
      <c r="BA252" s="4"/>
      <c r="BB252" s="4"/>
      <c r="BC252" s="135"/>
      <c r="BD252" s="4"/>
      <c r="BE252" s="4"/>
      <c r="BF252" s="4"/>
      <c r="BG252" s="4"/>
      <c r="BH252" s="4"/>
      <c r="BI252" s="4"/>
      <c r="BJ252" s="4"/>
      <c r="BK252" s="4"/>
      <c r="BL252" s="4"/>
      <c r="BM252" s="4"/>
      <c r="BN252" s="4"/>
      <c r="BO252" s="135"/>
      <c r="BP252" s="135"/>
      <c r="BQ252" s="135"/>
      <c r="BR252" s="4"/>
      <c r="BS252" s="4"/>
      <c r="BT252" s="118"/>
      <c r="BU252" s="4"/>
      <c r="BV252" s="4"/>
      <c r="BW252" s="4"/>
      <c r="BX252" s="4"/>
      <c r="BY252" s="4"/>
      <c r="BZ252" s="4"/>
      <c r="CA252" s="118"/>
      <c r="CB252" s="4"/>
      <c r="CC252" s="4"/>
      <c r="CD252" s="4"/>
      <c r="CE252" s="135"/>
      <c r="CF252" s="135"/>
      <c r="CG252" s="135"/>
      <c r="CH252" s="135"/>
      <c r="CI252" s="135"/>
      <c r="CJ252" s="135"/>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118"/>
      <c r="DU252" s="4"/>
      <c r="DV252" s="4"/>
      <c r="DW252" s="4"/>
      <c r="DX252" s="4"/>
      <c r="DY252" s="4"/>
      <c r="DZ252" s="4"/>
      <c r="EA252" s="4"/>
      <c r="EB252" s="4"/>
      <c r="EC252" s="4"/>
    </row>
    <row r="253" spans="1:133" s="1" customFormat="1" ht="30" customHeight="1" thickBot="1" x14ac:dyDescent="0.35">
      <c r="A253" s="7" t="s">
        <v>11</v>
      </c>
      <c r="B253" s="96" t="s">
        <v>218</v>
      </c>
      <c r="C253" s="97"/>
      <c r="D253" s="98"/>
      <c r="E253" s="99"/>
      <c r="F253" s="100"/>
      <c r="G253" s="31" t="str">
        <f t="shared" si="56"/>
        <v/>
      </c>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118"/>
      <c r="AM253" s="4"/>
      <c r="AN253" s="4"/>
      <c r="AO253" s="4"/>
      <c r="AP253" s="4"/>
      <c r="AQ253" s="135"/>
      <c r="AR253" s="4"/>
      <c r="AS253" s="4"/>
      <c r="AT253" s="4"/>
      <c r="AU253" s="4"/>
      <c r="AV253" s="4"/>
      <c r="AW253" s="4"/>
      <c r="AX253" s="4"/>
      <c r="AY253" s="4"/>
      <c r="AZ253" s="4"/>
      <c r="BA253" s="4"/>
      <c r="BB253" s="4"/>
      <c r="BC253" s="135"/>
      <c r="BD253" s="4"/>
      <c r="BE253" s="4"/>
      <c r="BF253" s="4"/>
      <c r="BG253" s="4"/>
      <c r="BH253" s="4"/>
      <c r="BI253" s="4"/>
      <c r="BJ253" s="4"/>
      <c r="BK253" s="4"/>
      <c r="BL253" s="4"/>
      <c r="BM253" s="4"/>
      <c r="BN253" s="4"/>
      <c r="BO253" s="135"/>
      <c r="BP253" s="135"/>
      <c r="BQ253" s="135"/>
      <c r="BR253" s="4"/>
      <c r="BS253" s="4"/>
      <c r="BT253" s="118"/>
      <c r="BU253" s="4"/>
      <c r="BV253" s="4"/>
      <c r="BW253" s="4"/>
      <c r="BX253" s="4"/>
      <c r="BY253" s="4"/>
      <c r="BZ253" s="4"/>
      <c r="CA253" s="118"/>
      <c r="CB253" s="4"/>
      <c r="CC253" s="4"/>
      <c r="CD253" s="4"/>
      <c r="CE253" s="135"/>
      <c r="CF253" s="135"/>
      <c r="CG253" s="135"/>
      <c r="CH253" s="135"/>
      <c r="CI253" s="135"/>
      <c r="CJ253" s="135"/>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118"/>
      <c r="DU253" s="4"/>
      <c r="DV253" s="4"/>
      <c r="DW253" s="4"/>
      <c r="DX253" s="4"/>
      <c r="DY253" s="4"/>
      <c r="DZ253" s="4"/>
      <c r="EA253" s="4"/>
      <c r="EB253" s="4"/>
      <c r="EC253" s="4"/>
    </row>
    <row r="254" spans="1:133" s="1" customFormat="1" ht="30" customHeight="1" thickBot="1" x14ac:dyDescent="0.35">
      <c r="A254" s="7"/>
      <c r="B254" s="101" t="s">
        <v>219</v>
      </c>
      <c r="C254" s="102" t="s">
        <v>246</v>
      </c>
      <c r="D254" s="103"/>
      <c r="E254" s="104">
        <v>46369</v>
      </c>
      <c r="F254" s="104">
        <v>46369</v>
      </c>
      <c r="G254" s="31">
        <f t="shared" ref="G254:G258" si="57">IF(OR(ISBLANK(タスク_開始),ISBLANK(タスク_終了)),"",タスク_終了-タスク_開始+1)</f>
        <v>1</v>
      </c>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118"/>
      <c r="AM254" s="4"/>
      <c r="AN254" s="4"/>
      <c r="AO254" s="4"/>
      <c r="AP254" s="4"/>
      <c r="AQ254" s="135"/>
      <c r="AR254" s="4"/>
      <c r="AS254" s="4"/>
      <c r="AT254" s="4"/>
      <c r="AU254" s="4"/>
      <c r="AV254" s="4"/>
      <c r="AW254" s="4"/>
      <c r="AX254" s="4"/>
      <c r="AY254" s="4"/>
      <c r="AZ254" s="4"/>
      <c r="BA254" s="4"/>
      <c r="BB254" s="4"/>
      <c r="BC254" s="135"/>
      <c r="BD254" s="4"/>
      <c r="BE254" s="4"/>
      <c r="BF254" s="4"/>
      <c r="BG254" s="4"/>
      <c r="BH254" s="4"/>
      <c r="BI254" s="4"/>
      <c r="BJ254" s="4"/>
      <c r="BK254" s="4"/>
      <c r="BL254" s="4"/>
      <c r="BM254" s="4"/>
      <c r="BN254" s="4"/>
      <c r="BO254" s="135"/>
      <c r="BP254" s="135"/>
      <c r="BQ254" s="135"/>
      <c r="BR254" s="4"/>
      <c r="BS254" s="4"/>
      <c r="BT254" s="118"/>
      <c r="BU254" s="4"/>
      <c r="BV254" s="4"/>
      <c r="BW254" s="4"/>
      <c r="BX254" s="4"/>
      <c r="BY254" s="4"/>
      <c r="BZ254" s="4"/>
      <c r="CA254" s="118"/>
      <c r="CB254" s="4"/>
      <c r="CC254" s="4"/>
      <c r="CD254" s="4"/>
      <c r="CE254" s="135"/>
      <c r="CF254" s="135"/>
      <c r="CG254" s="135"/>
      <c r="CH254" s="135"/>
      <c r="CI254" s="135"/>
      <c r="CJ254" s="135"/>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118"/>
      <c r="DU254" s="4"/>
      <c r="DV254" s="4"/>
      <c r="DW254" s="4"/>
      <c r="DX254" s="4"/>
      <c r="DY254" s="4"/>
      <c r="DZ254" s="4"/>
      <c r="EA254" s="4"/>
      <c r="EB254" s="4"/>
      <c r="EC254" s="4"/>
    </row>
    <row r="255" spans="1:133" s="1" customFormat="1" ht="30" customHeight="1" thickBot="1" x14ac:dyDescent="0.35">
      <c r="A255" s="7"/>
      <c r="B255" s="101" t="s">
        <v>220</v>
      </c>
      <c r="C255" s="102" t="s">
        <v>246</v>
      </c>
      <c r="D255" s="103"/>
      <c r="E255" s="104">
        <v>46370</v>
      </c>
      <c r="F255" s="104">
        <v>46370</v>
      </c>
      <c r="G255" s="31">
        <f t="shared" si="57"/>
        <v>1</v>
      </c>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118"/>
      <c r="AM255" s="4"/>
      <c r="AN255" s="4"/>
      <c r="AO255" s="4"/>
      <c r="AP255" s="4"/>
      <c r="AQ255" s="135"/>
      <c r="AR255" s="4"/>
      <c r="AS255" s="4"/>
      <c r="AT255" s="4"/>
      <c r="AU255" s="4"/>
      <c r="AV255" s="4"/>
      <c r="AW255" s="4"/>
      <c r="AX255" s="4"/>
      <c r="AY255" s="4"/>
      <c r="AZ255" s="4"/>
      <c r="BA255" s="4"/>
      <c r="BB255" s="4"/>
      <c r="BC255" s="135"/>
      <c r="BD255" s="4"/>
      <c r="BE255" s="4"/>
      <c r="BF255" s="4"/>
      <c r="BG255" s="4"/>
      <c r="BH255" s="4"/>
      <c r="BI255" s="4"/>
      <c r="BJ255" s="4"/>
      <c r="BK255" s="4"/>
      <c r="BL255" s="4"/>
      <c r="BM255" s="4"/>
      <c r="BN255" s="4"/>
      <c r="BO255" s="135"/>
      <c r="BP255" s="135"/>
      <c r="BQ255" s="135"/>
      <c r="BR255" s="4"/>
      <c r="BS255" s="4"/>
      <c r="BT255" s="118"/>
      <c r="BU255" s="4"/>
      <c r="BV255" s="4"/>
      <c r="BW255" s="4"/>
      <c r="BX255" s="4"/>
      <c r="BY255" s="4"/>
      <c r="BZ255" s="4"/>
      <c r="CA255" s="118"/>
      <c r="CB255" s="4"/>
      <c r="CC255" s="4"/>
      <c r="CD255" s="4"/>
      <c r="CE255" s="135"/>
      <c r="CF255" s="135"/>
      <c r="CG255" s="135"/>
      <c r="CH255" s="135"/>
      <c r="CI255" s="135"/>
      <c r="CJ255" s="135"/>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118"/>
      <c r="DU255" s="4"/>
      <c r="DV255" s="4"/>
      <c r="DW255" s="4"/>
      <c r="DX255" s="4"/>
      <c r="DY255" s="4"/>
      <c r="DZ255" s="4"/>
      <c r="EA255" s="4"/>
      <c r="EB255" s="4"/>
      <c r="EC255" s="4"/>
    </row>
    <row r="256" spans="1:133" s="1" customFormat="1" ht="30" customHeight="1" thickBot="1" x14ac:dyDescent="0.35">
      <c r="A256" s="7"/>
      <c r="B256" s="101" t="s">
        <v>224</v>
      </c>
      <c r="C256" s="102" t="s">
        <v>246</v>
      </c>
      <c r="D256" s="103"/>
      <c r="E256" s="104">
        <v>46371</v>
      </c>
      <c r="F256" s="104">
        <v>46371</v>
      </c>
      <c r="G256" s="31">
        <v>1</v>
      </c>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118"/>
      <c r="AM256" s="4"/>
      <c r="AN256" s="4"/>
      <c r="AO256" s="4"/>
      <c r="AP256" s="4"/>
      <c r="AQ256" s="135"/>
      <c r="AR256" s="4"/>
      <c r="AS256" s="4"/>
      <c r="AT256" s="4"/>
      <c r="AU256" s="4"/>
      <c r="AV256" s="4"/>
      <c r="AW256" s="4"/>
      <c r="AX256" s="4"/>
      <c r="AY256" s="4"/>
      <c r="AZ256" s="4"/>
      <c r="BA256" s="4"/>
      <c r="BB256" s="4"/>
      <c r="BC256" s="135"/>
      <c r="BD256" s="4"/>
      <c r="BE256" s="4"/>
      <c r="BF256" s="4"/>
      <c r="BG256" s="4"/>
      <c r="BH256" s="4"/>
      <c r="BI256" s="4"/>
      <c r="BJ256" s="4"/>
      <c r="BK256" s="4"/>
      <c r="BL256" s="4"/>
      <c r="BM256" s="4"/>
      <c r="BN256" s="4"/>
      <c r="BO256" s="135"/>
      <c r="BP256" s="135"/>
      <c r="BQ256" s="135"/>
      <c r="BR256" s="4"/>
      <c r="BS256" s="4"/>
      <c r="BT256" s="118"/>
      <c r="BU256" s="4"/>
      <c r="BV256" s="4"/>
      <c r="BW256" s="4"/>
      <c r="BX256" s="4"/>
      <c r="BY256" s="4"/>
      <c r="BZ256" s="4"/>
      <c r="CA256" s="118"/>
      <c r="CB256" s="4"/>
      <c r="CC256" s="4"/>
      <c r="CD256" s="4"/>
      <c r="CE256" s="135"/>
      <c r="CF256" s="135"/>
      <c r="CG256" s="135"/>
      <c r="CH256" s="135"/>
      <c r="CI256" s="135"/>
      <c r="CJ256" s="135"/>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118"/>
      <c r="DU256" s="4"/>
      <c r="DV256" s="4"/>
      <c r="DW256" s="4"/>
      <c r="DX256" s="4"/>
      <c r="DY256" s="4"/>
      <c r="DZ256" s="4"/>
      <c r="EA256" s="4"/>
      <c r="EB256" s="4"/>
      <c r="EC256" s="4"/>
    </row>
    <row r="257" spans="1:133" s="1" customFormat="1" ht="30" customHeight="1" thickBot="1" x14ac:dyDescent="0.35">
      <c r="A257" s="7"/>
      <c r="B257" s="101" t="s">
        <v>221</v>
      </c>
      <c r="C257" s="102" t="s">
        <v>246</v>
      </c>
      <c r="D257" s="103"/>
      <c r="E257" s="104">
        <v>46372</v>
      </c>
      <c r="F257" s="104">
        <v>46372</v>
      </c>
      <c r="G257" s="31">
        <f t="shared" si="57"/>
        <v>1</v>
      </c>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118"/>
      <c r="AM257" s="4"/>
      <c r="AN257" s="4"/>
      <c r="AO257" s="4"/>
      <c r="AP257" s="4"/>
      <c r="AQ257" s="135"/>
      <c r="AR257" s="4"/>
      <c r="AS257" s="4"/>
      <c r="AT257" s="4"/>
      <c r="AU257" s="4"/>
      <c r="AV257" s="4"/>
      <c r="AW257" s="4"/>
      <c r="AX257" s="4"/>
      <c r="AY257" s="4"/>
      <c r="AZ257" s="4"/>
      <c r="BA257" s="4"/>
      <c r="BB257" s="4"/>
      <c r="BC257" s="135"/>
      <c r="BD257" s="4"/>
      <c r="BE257" s="4"/>
      <c r="BF257" s="4"/>
      <c r="BG257" s="4"/>
      <c r="BH257" s="4"/>
      <c r="BI257" s="4"/>
      <c r="BJ257" s="4"/>
      <c r="BK257" s="4"/>
      <c r="BL257" s="4"/>
      <c r="BM257" s="4"/>
      <c r="BN257" s="4"/>
      <c r="BO257" s="135"/>
      <c r="BP257" s="135"/>
      <c r="BQ257" s="135"/>
      <c r="BR257" s="4"/>
      <c r="BS257" s="4"/>
      <c r="BT257" s="118"/>
      <c r="BU257" s="4"/>
      <c r="BV257" s="4"/>
      <c r="BW257" s="4"/>
      <c r="BX257" s="4"/>
      <c r="BY257" s="4"/>
      <c r="BZ257" s="4"/>
      <c r="CA257" s="118"/>
      <c r="CB257" s="4"/>
      <c r="CC257" s="4"/>
      <c r="CD257" s="4"/>
      <c r="CE257" s="135"/>
      <c r="CF257" s="135"/>
      <c r="CG257" s="135"/>
      <c r="CH257" s="135"/>
      <c r="CI257" s="135"/>
      <c r="CJ257" s="135"/>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118"/>
      <c r="DU257" s="4"/>
      <c r="DV257" s="4"/>
      <c r="DW257" s="4"/>
      <c r="DX257" s="4"/>
      <c r="DY257" s="4"/>
      <c r="DZ257" s="4"/>
      <c r="EA257" s="4"/>
      <c r="EB257" s="4"/>
      <c r="EC257" s="4"/>
    </row>
    <row r="258" spans="1:133" s="1" customFormat="1" ht="30" customHeight="1" thickBot="1" x14ac:dyDescent="0.35">
      <c r="A258" s="7"/>
      <c r="B258" s="101" t="s">
        <v>222</v>
      </c>
      <c r="C258" s="102" t="s">
        <v>246</v>
      </c>
      <c r="D258" s="103"/>
      <c r="E258" s="104">
        <v>46373</v>
      </c>
      <c r="F258" s="104">
        <v>46373</v>
      </c>
      <c r="G258" s="31">
        <f t="shared" si="57"/>
        <v>1</v>
      </c>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118"/>
      <c r="AM258" s="4"/>
      <c r="AN258" s="4"/>
      <c r="AO258" s="4"/>
      <c r="AP258" s="4"/>
      <c r="AQ258" s="135"/>
      <c r="AR258" s="4"/>
      <c r="AS258" s="4"/>
      <c r="AT258" s="4"/>
      <c r="AU258" s="4"/>
      <c r="AV258" s="4"/>
      <c r="AW258" s="4"/>
      <c r="AX258" s="4"/>
      <c r="AY258" s="4"/>
      <c r="AZ258" s="4"/>
      <c r="BA258" s="4"/>
      <c r="BB258" s="4"/>
      <c r="BC258" s="135"/>
      <c r="BD258" s="4"/>
      <c r="BE258" s="4"/>
      <c r="BF258" s="4"/>
      <c r="BG258" s="4"/>
      <c r="BH258" s="4"/>
      <c r="BI258" s="4"/>
      <c r="BJ258" s="4"/>
      <c r="BK258" s="4"/>
      <c r="BL258" s="4"/>
      <c r="BM258" s="4"/>
      <c r="BN258" s="4"/>
      <c r="BO258" s="135"/>
      <c r="BP258" s="135"/>
      <c r="BQ258" s="135"/>
      <c r="BR258" s="4"/>
      <c r="BS258" s="4"/>
      <c r="BT258" s="118"/>
      <c r="BU258" s="4"/>
      <c r="BV258" s="4"/>
      <c r="BW258" s="4"/>
      <c r="BX258" s="4"/>
      <c r="BY258" s="4"/>
      <c r="BZ258" s="4"/>
      <c r="CA258" s="118"/>
      <c r="CB258" s="4"/>
      <c r="CC258" s="4"/>
      <c r="CD258" s="4"/>
      <c r="CE258" s="135"/>
      <c r="CF258" s="135"/>
      <c r="CG258" s="135"/>
      <c r="CH258" s="135"/>
      <c r="CI258" s="135"/>
      <c r="CJ258" s="135"/>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118"/>
      <c r="DU258" s="4"/>
      <c r="DV258" s="4"/>
      <c r="DW258" s="4"/>
      <c r="DX258" s="4"/>
      <c r="DY258" s="4"/>
      <c r="DZ258" s="4"/>
      <c r="EA258" s="4"/>
      <c r="EB258" s="4"/>
      <c r="EC258" s="4"/>
    </row>
    <row r="259" spans="1:133" s="1" customFormat="1" ht="30" customHeight="1" thickBot="1" x14ac:dyDescent="0.35">
      <c r="A259" s="7"/>
      <c r="B259" s="101" t="s">
        <v>225</v>
      </c>
      <c r="C259" s="102" t="s">
        <v>246</v>
      </c>
      <c r="D259" s="103"/>
      <c r="E259" s="104">
        <v>46374</v>
      </c>
      <c r="F259" s="104">
        <v>46374</v>
      </c>
      <c r="G259" s="31">
        <v>1</v>
      </c>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118"/>
      <c r="AM259" s="4"/>
      <c r="AN259" s="4"/>
      <c r="AO259" s="4"/>
      <c r="AP259" s="4"/>
      <c r="AQ259" s="135"/>
      <c r="AR259" s="4"/>
      <c r="AS259" s="4"/>
      <c r="AT259" s="4"/>
      <c r="AU259" s="4"/>
      <c r="AV259" s="4"/>
      <c r="AW259" s="4"/>
      <c r="AX259" s="4"/>
      <c r="AY259" s="4"/>
      <c r="AZ259" s="4"/>
      <c r="BA259" s="4"/>
      <c r="BB259" s="4"/>
      <c r="BC259" s="135"/>
      <c r="BD259" s="4"/>
      <c r="BE259" s="4"/>
      <c r="BF259" s="4"/>
      <c r="BG259" s="4"/>
      <c r="BH259" s="4"/>
      <c r="BI259" s="4"/>
      <c r="BJ259" s="4"/>
      <c r="BK259" s="4"/>
      <c r="BL259" s="4"/>
      <c r="BM259" s="4"/>
      <c r="BN259" s="4"/>
      <c r="BO259" s="135"/>
      <c r="BP259" s="135"/>
      <c r="BQ259" s="135"/>
      <c r="BR259" s="4"/>
      <c r="BS259" s="4"/>
      <c r="BT259" s="118"/>
      <c r="BU259" s="4"/>
      <c r="BV259" s="4"/>
      <c r="BW259" s="4"/>
      <c r="BX259" s="4"/>
      <c r="BY259" s="4"/>
      <c r="BZ259" s="4"/>
      <c r="CA259" s="118"/>
      <c r="CB259" s="4"/>
      <c r="CC259" s="4"/>
      <c r="CD259" s="4"/>
      <c r="CE259" s="135"/>
      <c r="CF259" s="135"/>
      <c r="CG259" s="135"/>
      <c r="CH259" s="135"/>
      <c r="CI259" s="135"/>
      <c r="CJ259" s="135"/>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118"/>
      <c r="DU259" s="4"/>
      <c r="DV259" s="4"/>
      <c r="DW259" s="4"/>
      <c r="DX259" s="4"/>
      <c r="DY259" s="4"/>
      <c r="DZ259" s="4"/>
      <c r="EA259" s="4"/>
      <c r="EB259" s="4"/>
      <c r="EC259" s="4"/>
    </row>
    <row r="260" spans="1:133" s="1" customFormat="1" ht="30" customHeight="1" thickBot="1" x14ac:dyDescent="0.35">
      <c r="A260" s="7"/>
      <c r="B260" s="101" t="s">
        <v>227</v>
      </c>
      <c r="C260" s="102" t="s">
        <v>246</v>
      </c>
      <c r="D260" s="103"/>
      <c r="E260" s="104">
        <v>46375</v>
      </c>
      <c r="F260" s="104">
        <v>46375</v>
      </c>
      <c r="G260" s="31">
        <v>1</v>
      </c>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118"/>
      <c r="AM260" s="4"/>
      <c r="AN260" s="4"/>
      <c r="AO260" s="4"/>
      <c r="AP260" s="4"/>
      <c r="AQ260" s="135"/>
      <c r="AR260" s="4"/>
      <c r="AS260" s="4"/>
      <c r="AT260" s="4"/>
      <c r="AU260" s="4"/>
      <c r="AV260" s="4"/>
      <c r="AW260" s="4"/>
      <c r="AX260" s="4"/>
      <c r="AY260" s="4"/>
      <c r="AZ260" s="4"/>
      <c r="BA260" s="4"/>
      <c r="BB260" s="4"/>
      <c r="BC260" s="135"/>
      <c r="BD260" s="4"/>
      <c r="BE260" s="4"/>
      <c r="BF260" s="4"/>
      <c r="BG260" s="4"/>
      <c r="BH260" s="4"/>
      <c r="BI260" s="4"/>
      <c r="BJ260" s="4"/>
      <c r="BK260" s="4"/>
      <c r="BL260" s="4"/>
      <c r="BM260" s="4"/>
      <c r="BN260" s="4"/>
      <c r="BO260" s="135"/>
      <c r="BP260" s="135"/>
      <c r="BQ260" s="135"/>
      <c r="BR260" s="4"/>
      <c r="BS260" s="4"/>
      <c r="BT260" s="118"/>
      <c r="BU260" s="4"/>
      <c r="BV260" s="4"/>
      <c r="BW260" s="4"/>
      <c r="BX260" s="4"/>
      <c r="BY260" s="4"/>
      <c r="BZ260" s="4"/>
      <c r="CA260" s="118"/>
      <c r="CB260" s="4"/>
      <c r="CC260" s="4"/>
      <c r="CD260" s="4"/>
      <c r="CE260" s="135"/>
      <c r="CF260" s="135"/>
      <c r="CG260" s="135"/>
      <c r="CH260" s="135"/>
      <c r="CI260" s="135"/>
      <c r="CJ260" s="135"/>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118"/>
      <c r="DU260" s="4"/>
      <c r="DV260" s="4"/>
      <c r="DW260" s="4"/>
      <c r="DX260" s="4"/>
      <c r="DY260" s="4"/>
      <c r="DZ260" s="4"/>
      <c r="EA260" s="4"/>
      <c r="EB260" s="4"/>
      <c r="EC260" s="4"/>
    </row>
    <row r="261" spans="1:133" s="1" customFormat="1" ht="30" customHeight="1" thickBot="1" x14ac:dyDescent="0.35">
      <c r="A261" s="7"/>
      <c r="B261" s="101" t="s">
        <v>223</v>
      </c>
      <c r="C261" s="102" t="s">
        <v>246</v>
      </c>
      <c r="D261" s="103"/>
      <c r="E261" s="104">
        <v>46376</v>
      </c>
      <c r="F261" s="104">
        <v>46376</v>
      </c>
      <c r="G261" s="31">
        <f t="shared" si="56"/>
        <v>1</v>
      </c>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118"/>
      <c r="AM261" s="4"/>
      <c r="AN261" s="4"/>
      <c r="AO261" s="4"/>
      <c r="AP261" s="4"/>
      <c r="AQ261" s="135"/>
      <c r="AR261" s="4"/>
      <c r="AS261" s="4"/>
      <c r="AT261" s="4"/>
      <c r="AU261" s="4"/>
      <c r="AV261" s="4"/>
      <c r="AW261" s="4"/>
      <c r="AX261" s="4"/>
      <c r="AY261" s="4"/>
      <c r="AZ261" s="4"/>
      <c r="BA261" s="4"/>
      <c r="BB261" s="4"/>
      <c r="BC261" s="135"/>
      <c r="BD261" s="4"/>
      <c r="BE261" s="4"/>
      <c r="BF261" s="4"/>
      <c r="BG261" s="4"/>
      <c r="BH261" s="4"/>
      <c r="BI261" s="4"/>
      <c r="BJ261" s="4"/>
      <c r="BK261" s="4"/>
      <c r="BL261" s="4"/>
      <c r="BM261" s="4"/>
      <c r="BN261" s="4"/>
      <c r="BO261" s="135"/>
      <c r="BP261" s="135"/>
      <c r="BQ261" s="135"/>
      <c r="BR261" s="4"/>
      <c r="BS261" s="4"/>
      <c r="BT261" s="118"/>
      <c r="BU261" s="4"/>
      <c r="BV261" s="4"/>
      <c r="BW261" s="4"/>
      <c r="BX261" s="4"/>
      <c r="BY261" s="4"/>
      <c r="BZ261" s="4"/>
      <c r="CA261" s="118"/>
      <c r="CB261" s="4"/>
      <c r="CC261" s="4"/>
      <c r="CD261" s="4"/>
      <c r="CE261" s="135"/>
      <c r="CF261" s="135"/>
      <c r="CG261" s="135"/>
      <c r="CH261" s="135"/>
      <c r="CI261" s="135"/>
      <c r="CJ261" s="135"/>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118"/>
      <c r="DU261" s="4"/>
      <c r="DV261" s="4"/>
      <c r="DW261" s="4"/>
      <c r="DX261" s="4"/>
      <c r="DY261" s="4"/>
      <c r="DZ261" s="4"/>
      <c r="EA261" s="4"/>
      <c r="EB261" s="4"/>
      <c r="EC261" s="4"/>
    </row>
    <row r="262" spans="1:133" s="1" customFormat="1" ht="30" customHeight="1" thickBot="1" x14ac:dyDescent="0.35">
      <c r="A262" s="7"/>
      <c r="B262" s="101" t="s">
        <v>226</v>
      </c>
      <c r="C262" s="102" t="s">
        <v>246</v>
      </c>
      <c r="D262" s="103"/>
      <c r="E262" s="104">
        <v>46377</v>
      </c>
      <c r="F262" s="104">
        <v>46377</v>
      </c>
      <c r="G262" s="31">
        <v>1</v>
      </c>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118"/>
      <c r="AM262" s="4"/>
      <c r="AN262" s="4"/>
      <c r="AO262" s="4"/>
      <c r="AP262" s="4"/>
      <c r="AQ262" s="135"/>
      <c r="AR262" s="4"/>
      <c r="AS262" s="4"/>
      <c r="AT262" s="4"/>
      <c r="AU262" s="4"/>
      <c r="AV262" s="4"/>
      <c r="AW262" s="4"/>
      <c r="AX262" s="4"/>
      <c r="AY262" s="4"/>
      <c r="AZ262" s="4"/>
      <c r="BA262" s="4"/>
      <c r="BB262" s="4"/>
      <c r="BC262" s="135"/>
      <c r="BD262" s="4"/>
      <c r="BE262" s="4"/>
      <c r="BF262" s="4"/>
      <c r="BG262" s="4"/>
      <c r="BH262" s="4"/>
      <c r="BI262" s="4"/>
      <c r="BJ262" s="4"/>
      <c r="BK262" s="4"/>
      <c r="BL262" s="4"/>
      <c r="BM262" s="4"/>
      <c r="BN262" s="4"/>
      <c r="BO262" s="135"/>
      <c r="BP262" s="135"/>
      <c r="BQ262" s="135"/>
      <c r="BR262" s="4"/>
      <c r="BS262" s="4"/>
      <c r="BT262" s="118"/>
      <c r="BU262" s="4"/>
      <c r="BV262" s="4"/>
      <c r="BW262" s="4"/>
      <c r="BX262" s="4"/>
      <c r="BY262" s="4"/>
      <c r="BZ262" s="4"/>
      <c r="CA262" s="118"/>
      <c r="CB262" s="4"/>
      <c r="CC262" s="4"/>
      <c r="CD262" s="4"/>
      <c r="CE262" s="135"/>
      <c r="CF262" s="135"/>
      <c r="CG262" s="135"/>
      <c r="CH262" s="135"/>
      <c r="CI262" s="135"/>
      <c r="CJ262" s="135"/>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118"/>
      <c r="DU262" s="4"/>
      <c r="DV262" s="4"/>
      <c r="DW262" s="4"/>
      <c r="DX262" s="4"/>
      <c r="DY262" s="4"/>
      <c r="DZ262" s="4"/>
      <c r="EA262" s="4"/>
      <c r="EB262" s="4"/>
      <c r="EC262" s="4"/>
    </row>
    <row r="263" spans="1:133" s="1" customFormat="1" ht="30" customHeight="1" thickBot="1" x14ac:dyDescent="0.35">
      <c r="A263" s="7" t="s">
        <v>11</v>
      </c>
      <c r="B263" s="87" t="s">
        <v>150</v>
      </c>
      <c r="C263" s="88"/>
      <c r="D263" s="89"/>
      <c r="E263" s="90"/>
      <c r="F263" s="91"/>
      <c r="G263" s="31" t="str">
        <f t="shared" si="56"/>
        <v/>
      </c>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118"/>
      <c r="AM263" s="4"/>
      <c r="AN263" s="4"/>
      <c r="AO263" s="4"/>
      <c r="AP263" s="4"/>
      <c r="AQ263" s="135"/>
      <c r="AR263" s="4"/>
      <c r="AS263" s="4"/>
      <c r="AT263" s="4"/>
      <c r="AU263" s="4"/>
      <c r="AV263" s="4"/>
      <c r="AW263" s="4"/>
      <c r="AX263" s="4"/>
      <c r="AY263" s="4"/>
      <c r="AZ263" s="4"/>
      <c r="BA263" s="4"/>
      <c r="BB263" s="4"/>
      <c r="BC263" s="135"/>
      <c r="BD263" s="4"/>
      <c r="BE263" s="4"/>
      <c r="BF263" s="4"/>
      <c r="BG263" s="4"/>
      <c r="BH263" s="4"/>
      <c r="BI263" s="4"/>
      <c r="BJ263" s="4"/>
      <c r="BK263" s="4"/>
      <c r="BL263" s="4"/>
      <c r="BM263" s="4"/>
      <c r="BN263" s="4"/>
      <c r="BO263" s="135"/>
      <c r="BP263" s="135"/>
      <c r="BQ263" s="135"/>
      <c r="BR263" s="4"/>
      <c r="BS263" s="4"/>
      <c r="BT263" s="118"/>
      <c r="BU263" s="4"/>
      <c r="BV263" s="4"/>
      <c r="BW263" s="4"/>
      <c r="BX263" s="4"/>
      <c r="BY263" s="4"/>
      <c r="BZ263" s="4"/>
      <c r="CA263" s="118"/>
      <c r="CB263" s="4"/>
      <c r="CC263" s="4"/>
      <c r="CD263" s="4"/>
      <c r="CE263" s="135"/>
      <c r="CF263" s="135"/>
      <c r="CG263" s="135"/>
      <c r="CH263" s="135"/>
      <c r="CI263" s="135"/>
      <c r="CJ263" s="135"/>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118"/>
      <c r="DU263" s="4"/>
      <c r="DV263" s="4"/>
      <c r="DW263" s="4"/>
      <c r="DX263" s="4"/>
      <c r="DY263" s="4"/>
      <c r="DZ263" s="4"/>
      <c r="EA263" s="4"/>
      <c r="EB263" s="4"/>
      <c r="EC263" s="4"/>
    </row>
    <row r="264" spans="1:133" s="1" customFormat="1" ht="30" customHeight="1" thickBot="1" x14ac:dyDescent="0.35">
      <c r="A264" s="7"/>
      <c r="B264" s="92" t="s">
        <v>228</v>
      </c>
      <c r="C264" s="93" t="s">
        <v>246</v>
      </c>
      <c r="D264" s="94"/>
      <c r="E264" s="95">
        <v>46397</v>
      </c>
      <c r="F264" s="95">
        <v>46397</v>
      </c>
      <c r="G264" s="31">
        <f t="shared" si="56"/>
        <v>1</v>
      </c>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118"/>
      <c r="AM264" s="4"/>
      <c r="AN264" s="4"/>
      <c r="AO264" s="4"/>
      <c r="AP264" s="4"/>
      <c r="AQ264" s="135"/>
      <c r="AR264" s="4"/>
      <c r="AS264" s="4"/>
      <c r="AT264" s="4"/>
      <c r="AU264" s="4"/>
      <c r="AV264" s="4"/>
      <c r="AW264" s="4"/>
      <c r="AX264" s="4"/>
      <c r="AY264" s="4"/>
      <c r="AZ264" s="4"/>
      <c r="BA264" s="4"/>
      <c r="BB264" s="4"/>
      <c r="BC264" s="135"/>
      <c r="BD264" s="4"/>
      <c r="BE264" s="4"/>
      <c r="BF264" s="4"/>
      <c r="BG264" s="4"/>
      <c r="BH264" s="4"/>
      <c r="BI264" s="4"/>
      <c r="BJ264" s="4"/>
      <c r="BK264" s="4"/>
      <c r="BL264" s="4"/>
      <c r="BM264" s="4"/>
      <c r="BN264" s="4"/>
      <c r="BO264" s="135"/>
      <c r="BP264" s="135"/>
      <c r="BQ264" s="135"/>
      <c r="BR264" s="4"/>
      <c r="BS264" s="4"/>
      <c r="BT264" s="118"/>
      <c r="BU264" s="4"/>
      <c r="BV264" s="4"/>
      <c r="BW264" s="4"/>
      <c r="BX264" s="4"/>
      <c r="BY264" s="4"/>
      <c r="BZ264" s="4"/>
      <c r="CA264" s="118"/>
      <c r="CB264" s="4"/>
      <c r="CC264" s="4"/>
      <c r="CD264" s="4"/>
      <c r="CE264" s="135"/>
      <c r="CF264" s="135"/>
      <c r="CG264" s="135"/>
      <c r="CH264" s="135"/>
      <c r="CI264" s="135"/>
      <c r="CJ264" s="135"/>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118"/>
      <c r="DU264" s="4"/>
      <c r="DV264" s="4"/>
      <c r="DW264" s="4"/>
      <c r="DX264" s="4"/>
      <c r="DY264" s="4"/>
      <c r="DZ264" s="4"/>
      <c r="EA264" s="4"/>
      <c r="EB264" s="4"/>
      <c r="EC264" s="4"/>
    </row>
    <row r="265" spans="1:133" s="1" customFormat="1" ht="30" customHeight="1" thickBot="1" x14ac:dyDescent="0.35">
      <c r="A265" s="7"/>
      <c r="B265" s="92" t="s">
        <v>230</v>
      </c>
      <c r="C265" s="93" t="s">
        <v>246</v>
      </c>
      <c r="D265" s="94"/>
      <c r="E265" s="95">
        <v>46398</v>
      </c>
      <c r="F265" s="95">
        <v>46398</v>
      </c>
      <c r="G265" s="31">
        <v>1</v>
      </c>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118"/>
      <c r="AM265" s="4"/>
      <c r="AN265" s="4"/>
      <c r="AO265" s="4"/>
      <c r="AP265" s="4"/>
      <c r="AQ265" s="135"/>
      <c r="AR265" s="4"/>
      <c r="AS265" s="4"/>
      <c r="AT265" s="4"/>
      <c r="AU265" s="4"/>
      <c r="AV265" s="4"/>
      <c r="AW265" s="4"/>
      <c r="AX265" s="4"/>
      <c r="AY265" s="4"/>
      <c r="AZ265" s="4"/>
      <c r="BA265" s="4"/>
      <c r="BB265" s="4"/>
      <c r="BC265" s="135"/>
      <c r="BD265" s="4"/>
      <c r="BE265" s="4"/>
      <c r="BF265" s="4"/>
      <c r="BG265" s="4"/>
      <c r="BH265" s="4"/>
      <c r="BI265" s="4"/>
      <c r="BJ265" s="4"/>
      <c r="BK265" s="4"/>
      <c r="BL265" s="4"/>
      <c r="BM265" s="4"/>
      <c r="BN265" s="4"/>
      <c r="BO265" s="135"/>
      <c r="BP265" s="135"/>
      <c r="BQ265" s="135"/>
      <c r="BR265" s="4"/>
      <c r="BS265" s="4"/>
      <c r="BT265" s="118"/>
      <c r="BU265" s="4"/>
      <c r="BV265" s="4"/>
      <c r="BW265" s="4"/>
      <c r="BX265" s="4"/>
      <c r="BY265" s="4"/>
      <c r="BZ265" s="4"/>
      <c r="CA265" s="118"/>
      <c r="CB265" s="4"/>
      <c r="CC265" s="4"/>
      <c r="CD265" s="4"/>
      <c r="CE265" s="135"/>
      <c r="CF265" s="135"/>
      <c r="CG265" s="135"/>
      <c r="CH265" s="135"/>
      <c r="CI265" s="135"/>
      <c r="CJ265" s="135"/>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118"/>
      <c r="DU265" s="4"/>
      <c r="DV265" s="4"/>
      <c r="DW265" s="4"/>
      <c r="DX265" s="4"/>
      <c r="DY265" s="4"/>
      <c r="DZ265" s="4"/>
      <c r="EA265" s="4"/>
      <c r="EB265" s="4"/>
      <c r="EC265" s="4"/>
    </row>
    <row r="266" spans="1:133" s="1" customFormat="1" ht="30" customHeight="1" thickBot="1" x14ac:dyDescent="0.35">
      <c r="A266" s="7"/>
      <c r="B266" s="92" t="s">
        <v>229</v>
      </c>
      <c r="C266" s="93" t="s">
        <v>246</v>
      </c>
      <c r="D266" s="94"/>
      <c r="E266" s="95">
        <v>46398</v>
      </c>
      <c r="F266" s="95">
        <v>46398</v>
      </c>
      <c r="G266" s="31">
        <f t="shared" si="56"/>
        <v>1</v>
      </c>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118"/>
      <c r="AM266" s="4"/>
      <c r="AN266" s="4"/>
      <c r="AO266" s="4"/>
      <c r="AP266" s="4"/>
      <c r="AQ266" s="135"/>
      <c r="AR266" s="4"/>
      <c r="AS266" s="4"/>
      <c r="AT266" s="4"/>
      <c r="AU266" s="4"/>
      <c r="AV266" s="4"/>
      <c r="AW266" s="4"/>
      <c r="AX266" s="4"/>
      <c r="AY266" s="4"/>
      <c r="AZ266" s="4"/>
      <c r="BA266" s="4"/>
      <c r="BB266" s="4"/>
      <c r="BC266" s="135"/>
      <c r="BD266" s="4"/>
      <c r="BE266" s="4"/>
      <c r="BF266" s="4"/>
      <c r="BG266" s="4"/>
      <c r="BH266" s="4"/>
      <c r="BI266" s="4"/>
      <c r="BJ266" s="4"/>
      <c r="BK266" s="4"/>
      <c r="BL266" s="4"/>
      <c r="BM266" s="4"/>
      <c r="BN266" s="4"/>
      <c r="BO266" s="135"/>
      <c r="BP266" s="135"/>
      <c r="BQ266" s="135"/>
      <c r="BR266" s="4"/>
      <c r="BS266" s="4"/>
      <c r="BT266" s="118"/>
      <c r="BU266" s="4"/>
      <c r="BV266" s="4"/>
      <c r="BW266" s="4"/>
      <c r="BX266" s="4"/>
      <c r="BY266" s="4"/>
      <c r="BZ266" s="4"/>
      <c r="CA266" s="118"/>
      <c r="CB266" s="4"/>
      <c r="CC266" s="4"/>
      <c r="CD266" s="4"/>
      <c r="CE266" s="135"/>
      <c r="CF266" s="135"/>
      <c r="CG266" s="135"/>
      <c r="CH266" s="135"/>
      <c r="CI266" s="135"/>
      <c r="CJ266" s="135"/>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118"/>
      <c r="DU266" s="4"/>
      <c r="DV266" s="4"/>
      <c r="DW266" s="4"/>
      <c r="DX266" s="4"/>
      <c r="DY266" s="4"/>
      <c r="DZ266" s="4"/>
      <c r="EA266" s="4"/>
      <c r="EB266" s="4"/>
      <c r="EC266" s="4"/>
    </row>
    <row r="267" spans="1:133" s="1" customFormat="1" ht="30" customHeight="1" thickBot="1" x14ac:dyDescent="0.35">
      <c r="A267" s="7" t="s">
        <v>11</v>
      </c>
      <c r="B267" s="87" t="s">
        <v>151</v>
      </c>
      <c r="C267" s="88"/>
      <c r="D267" s="89"/>
      <c r="E267" s="90"/>
      <c r="F267" s="91"/>
      <c r="G267" s="31" t="str">
        <f t="shared" si="56"/>
        <v/>
      </c>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118"/>
      <c r="AM267" s="4"/>
      <c r="AN267" s="4"/>
      <c r="AO267" s="4"/>
      <c r="AP267" s="4"/>
      <c r="AQ267" s="135"/>
      <c r="AR267" s="4"/>
      <c r="AS267" s="4"/>
      <c r="AT267" s="4"/>
      <c r="AU267" s="4"/>
      <c r="AV267" s="4"/>
      <c r="AW267" s="4"/>
      <c r="AX267" s="4"/>
      <c r="AY267" s="4"/>
      <c r="AZ267" s="4"/>
      <c r="BA267" s="4"/>
      <c r="BB267" s="4"/>
      <c r="BC267" s="135"/>
      <c r="BD267" s="4"/>
      <c r="BE267" s="4"/>
      <c r="BF267" s="4"/>
      <c r="BG267" s="4"/>
      <c r="BH267" s="4"/>
      <c r="BI267" s="4"/>
      <c r="BJ267" s="4"/>
      <c r="BK267" s="4"/>
      <c r="BL267" s="4"/>
      <c r="BM267" s="4"/>
      <c r="BN267" s="4"/>
      <c r="BO267" s="135"/>
      <c r="BP267" s="135"/>
      <c r="BQ267" s="135"/>
      <c r="BR267" s="4"/>
      <c r="BS267" s="4"/>
      <c r="BT267" s="118"/>
      <c r="BU267" s="4"/>
      <c r="BV267" s="4"/>
      <c r="BW267" s="4"/>
      <c r="BX267" s="4"/>
      <c r="BY267" s="4"/>
      <c r="BZ267" s="4"/>
      <c r="CA267" s="118"/>
      <c r="CB267" s="4"/>
      <c r="CC267" s="4"/>
      <c r="CD267" s="4"/>
      <c r="CE267" s="135"/>
      <c r="CF267" s="135"/>
      <c r="CG267" s="135"/>
      <c r="CH267" s="135"/>
      <c r="CI267" s="135"/>
      <c r="CJ267" s="135"/>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118"/>
      <c r="DU267" s="4"/>
      <c r="DV267" s="4"/>
      <c r="DW267" s="4"/>
      <c r="DX267" s="4"/>
      <c r="DY267" s="4"/>
      <c r="DZ267" s="4"/>
      <c r="EA267" s="4"/>
      <c r="EB267" s="4"/>
      <c r="EC267" s="4"/>
    </row>
    <row r="268" spans="1:133" s="1" customFormat="1" ht="30" customHeight="1" thickBot="1" x14ac:dyDescent="0.35">
      <c r="A268" s="7"/>
      <c r="B268" s="92" t="s">
        <v>228</v>
      </c>
      <c r="C268" s="93" t="s">
        <v>246</v>
      </c>
      <c r="D268" s="94"/>
      <c r="E268" s="95">
        <v>46397</v>
      </c>
      <c r="F268" s="95">
        <v>46397</v>
      </c>
      <c r="G268" s="31">
        <f t="shared" si="56"/>
        <v>1</v>
      </c>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118"/>
      <c r="AM268" s="4"/>
      <c r="AN268" s="4"/>
      <c r="AO268" s="4"/>
      <c r="AP268" s="4"/>
      <c r="AQ268" s="135"/>
      <c r="AR268" s="4"/>
      <c r="AS268" s="4"/>
      <c r="AT268" s="4"/>
      <c r="AU268" s="4"/>
      <c r="AV268" s="4"/>
      <c r="AW268" s="4"/>
      <c r="AX268" s="4"/>
      <c r="AY268" s="4"/>
      <c r="AZ268" s="4"/>
      <c r="BA268" s="4"/>
      <c r="BB268" s="4"/>
      <c r="BC268" s="135"/>
      <c r="BD268" s="4"/>
      <c r="BE268" s="4"/>
      <c r="BF268" s="4"/>
      <c r="BG268" s="4"/>
      <c r="BH268" s="4"/>
      <c r="BI268" s="4"/>
      <c r="BJ268" s="4"/>
      <c r="BK268" s="4"/>
      <c r="BL268" s="4"/>
      <c r="BM268" s="4"/>
      <c r="BN268" s="4"/>
      <c r="BO268" s="135"/>
      <c r="BP268" s="135"/>
      <c r="BQ268" s="135"/>
      <c r="BR268" s="4"/>
      <c r="BS268" s="4"/>
      <c r="BT268" s="118"/>
      <c r="BU268" s="4"/>
      <c r="BV268" s="4"/>
      <c r="BW268" s="4"/>
      <c r="BX268" s="4"/>
      <c r="BY268" s="4"/>
      <c r="BZ268" s="4"/>
      <c r="CA268" s="118"/>
      <c r="CB268" s="4"/>
      <c r="CC268" s="4"/>
      <c r="CD268" s="4"/>
      <c r="CE268" s="135"/>
      <c r="CF268" s="135"/>
      <c r="CG268" s="135"/>
      <c r="CH268" s="135"/>
      <c r="CI268" s="135"/>
      <c r="CJ268" s="135"/>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118"/>
      <c r="DU268" s="4"/>
      <c r="DV268" s="4"/>
      <c r="DW268" s="4"/>
      <c r="DX268" s="4"/>
      <c r="DY268" s="4"/>
      <c r="DZ268" s="4"/>
      <c r="EA268" s="4"/>
      <c r="EB268" s="4"/>
      <c r="EC268" s="4"/>
    </row>
    <row r="269" spans="1:133" s="1" customFormat="1" ht="30" customHeight="1" thickBot="1" x14ac:dyDescent="0.35">
      <c r="A269" s="7"/>
      <c r="B269" s="92" t="s">
        <v>231</v>
      </c>
      <c r="C269" s="93" t="s">
        <v>246</v>
      </c>
      <c r="D269" s="94"/>
      <c r="E269" s="95">
        <v>46398</v>
      </c>
      <c r="F269" s="95">
        <v>46398</v>
      </c>
      <c r="G269" s="31">
        <f t="shared" si="56"/>
        <v>1</v>
      </c>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118"/>
      <c r="AM269" s="4"/>
      <c r="AN269" s="4"/>
      <c r="AO269" s="4"/>
      <c r="AP269" s="4"/>
      <c r="AQ269" s="135"/>
      <c r="AR269" s="4"/>
      <c r="AS269" s="4"/>
      <c r="AT269" s="4"/>
      <c r="AU269" s="4"/>
      <c r="AV269" s="4"/>
      <c r="AW269" s="4"/>
      <c r="AX269" s="4"/>
      <c r="AY269" s="4"/>
      <c r="AZ269" s="4"/>
      <c r="BA269" s="4"/>
      <c r="BB269" s="4"/>
      <c r="BC269" s="135"/>
      <c r="BD269" s="4"/>
      <c r="BE269" s="4"/>
      <c r="BF269" s="4"/>
      <c r="BG269" s="4"/>
      <c r="BH269" s="4"/>
      <c r="BI269" s="4"/>
      <c r="BJ269" s="4"/>
      <c r="BK269" s="4"/>
      <c r="BL269" s="4"/>
      <c r="BM269" s="4"/>
      <c r="BN269" s="4"/>
      <c r="BO269" s="135"/>
      <c r="BP269" s="135"/>
      <c r="BQ269" s="135"/>
      <c r="BR269" s="4"/>
      <c r="BS269" s="4"/>
      <c r="BT269" s="118"/>
      <c r="BU269" s="4"/>
      <c r="BV269" s="4"/>
      <c r="BW269" s="4"/>
      <c r="BX269" s="4"/>
      <c r="BY269" s="4"/>
      <c r="BZ269" s="4"/>
      <c r="CA269" s="118"/>
      <c r="CB269" s="4"/>
      <c r="CC269" s="4"/>
      <c r="CD269" s="4"/>
      <c r="CE269" s="135"/>
      <c r="CF269" s="135"/>
      <c r="CG269" s="135"/>
      <c r="CH269" s="135"/>
      <c r="CI269" s="135"/>
      <c r="CJ269" s="135"/>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118"/>
      <c r="DU269" s="4"/>
      <c r="DV269" s="4"/>
      <c r="DW269" s="4"/>
      <c r="DX269" s="4"/>
      <c r="DY269" s="4"/>
      <c r="DZ269" s="4"/>
      <c r="EA269" s="4"/>
      <c r="EB269" s="4"/>
      <c r="EC269" s="4"/>
    </row>
    <row r="270" spans="1:133" s="1" customFormat="1" ht="30" customHeight="1" thickBot="1" x14ac:dyDescent="0.35">
      <c r="A270" s="7" t="s">
        <v>11</v>
      </c>
      <c r="B270" s="87" t="s">
        <v>217</v>
      </c>
      <c r="C270" s="88"/>
      <c r="D270" s="89"/>
      <c r="E270" s="90"/>
      <c r="F270" s="91"/>
      <c r="G270" s="31" t="str">
        <f t="shared" si="56"/>
        <v/>
      </c>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118"/>
      <c r="AM270" s="4"/>
      <c r="AN270" s="4"/>
      <c r="AO270" s="4"/>
      <c r="AP270" s="4"/>
      <c r="AQ270" s="135"/>
      <c r="AR270" s="4"/>
      <c r="AS270" s="4"/>
      <c r="AT270" s="4"/>
      <c r="AU270" s="4"/>
      <c r="AV270" s="4"/>
      <c r="AW270" s="4"/>
      <c r="AX270" s="4"/>
      <c r="AY270" s="4"/>
      <c r="AZ270" s="4"/>
      <c r="BA270" s="4"/>
      <c r="BB270" s="4"/>
      <c r="BC270" s="135"/>
      <c r="BD270" s="4"/>
      <c r="BE270" s="4"/>
      <c r="BF270" s="4"/>
      <c r="BG270" s="4"/>
      <c r="BH270" s="4"/>
      <c r="BI270" s="4"/>
      <c r="BJ270" s="4"/>
      <c r="BK270" s="4"/>
      <c r="BL270" s="4"/>
      <c r="BM270" s="4"/>
      <c r="BN270" s="4"/>
      <c r="BO270" s="135"/>
      <c r="BP270" s="135"/>
      <c r="BQ270" s="135"/>
      <c r="BR270" s="4"/>
      <c r="BS270" s="4"/>
      <c r="BT270" s="118"/>
      <c r="BU270" s="4"/>
      <c r="BV270" s="4"/>
      <c r="BW270" s="4"/>
      <c r="BX270" s="4"/>
      <c r="BY270" s="4"/>
      <c r="BZ270" s="4"/>
      <c r="CA270" s="118"/>
      <c r="CB270" s="4"/>
      <c r="CC270" s="4"/>
      <c r="CD270" s="4"/>
      <c r="CE270" s="135"/>
      <c r="CF270" s="135"/>
      <c r="CG270" s="135"/>
      <c r="CH270" s="135"/>
      <c r="CI270" s="135"/>
      <c r="CJ270" s="135"/>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118"/>
      <c r="DU270" s="4"/>
      <c r="DV270" s="4"/>
      <c r="DW270" s="4"/>
      <c r="DX270" s="4"/>
      <c r="DY270" s="4"/>
      <c r="DZ270" s="4"/>
      <c r="EA270" s="4"/>
      <c r="EB270" s="4"/>
      <c r="EC270" s="4"/>
    </row>
    <row r="271" spans="1:133" s="1" customFormat="1" ht="30" customHeight="1" thickBot="1" x14ac:dyDescent="0.35">
      <c r="A271" s="7"/>
      <c r="B271" s="92" t="s">
        <v>228</v>
      </c>
      <c r="C271" s="93" t="s">
        <v>246</v>
      </c>
      <c r="D271" s="94"/>
      <c r="E271" s="95">
        <v>46397</v>
      </c>
      <c r="F271" s="95">
        <v>46397</v>
      </c>
      <c r="G271" s="31">
        <f t="shared" si="56"/>
        <v>1</v>
      </c>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118"/>
      <c r="AM271" s="4"/>
      <c r="AN271" s="4"/>
      <c r="AO271" s="4"/>
      <c r="AP271" s="4"/>
      <c r="AQ271" s="135"/>
      <c r="AR271" s="4"/>
      <c r="AS271" s="4"/>
      <c r="AT271" s="4"/>
      <c r="AU271" s="4"/>
      <c r="AV271" s="4"/>
      <c r="AW271" s="4"/>
      <c r="AX271" s="4"/>
      <c r="AY271" s="4"/>
      <c r="AZ271" s="4"/>
      <c r="BA271" s="4"/>
      <c r="BB271" s="4"/>
      <c r="BC271" s="135"/>
      <c r="BD271" s="4"/>
      <c r="BE271" s="4"/>
      <c r="BF271" s="4"/>
      <c r="BG271" s="4"/>
      <c r="BH271" s="4"/>
      <c r="BI271" s="4"/>
      <c r="BJ271" s="4"/>
      <c r="BK271" s="4"/>
      <c r="BL271" s="4"/>
      <c r="BM271" s="4"/>
      <c r="BN271" s="4"/>
      <c r="BO271" s="135"/>
      <c r="BP271" s="135"/>
      <c r="BQ271" s="135"/>
      <c r="BR271" s="4"/>
      <c r="BS271" s="4"/>
      <c r="BT271" s="118"/>
      <c r="BU271" s="4"/>
      <c r="BV271" s="4"/>
      <c r="BW271" s="4"/>
      <c r="BX271" s="4"/>
      <c r="BY271" s="4"/>
      <c r="BZ271" s="4"/>
      <c r="CA271" s="118"/>
      <c r="CB271" s="4"/>
      <c r="CC271" s="4"/>
      <c r="CD271" s="4"/>
      <c r="CE271" s="135"/>
      <c r="CF271" s="135"/>
      <c r="CG271" s="135"/>
      <c r="CH271" s="135"/>
      <c r="CI271" s="135"/>
      <c r="CJ271" s="135"/>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118"/>
      <c r="DU271" s="4"/>
      <c r="DV271" s="4"/>
      <c r="DW271" s="4"/>
      <c r="DX271" s="4"/>
      <c r="DY271" s="4"/>
      <c r="DZ271" s="4"/>
      <c r="EA271" s="4"/>
      <c r="EB271" s="4"/>
      <c r="EC271" s="4"/>
    </row>
    <row r="272" spans="1:133" s="1" customFormat="1" ht="30" customHeight="1" thickBot="1" x14ac:dyDescent="0.35">
      <c r="A272" s="7"/>
      <c r="B272" s="92" t="s">
        <v>232</v>
      </c>
      <c r="C272" s="93" t="s">
        <v>246</v>
      </c>
      <c r="D272" s="94"/>
      <c r="E272" s="95">
        <v>46398</v>
      </c>
      <c r="F272" s="95">
        <v>46398</v>
      </c>
      <c r="G272" s="31">
        <f t="shared" si="56"/>
        <v>1</v>
      </c>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118"/>
      <c r="AM272" s="4"/>
      <c r="AN272" s="4"/>
      <c r="AO272" s="4"/>
      <c r="AP272" s="4"/>
      <c r="AQ272" s="135"/>
      <c r="AR272" s="4"/>
      <c r="AS272" s="4"/>
      <c r="AT272" s="4"/>
      <c r="AU272" s="4"/>
      <c r="AV272" s="4"/>
      <c r="AW272" s="4"/>
      <c r="AX272" s="4"/>
      <c r="AY272" s="4"/>
      <c r="AZ272" s="4"/>
      <c r="BA272" s="4"/>
      <c r="BB272" s="4"/>
      <c r="BC272" s="135"/>
      <c r="BD272" s="4"/>
      <c r="BE272" s="4"/>
      <c r="BF272" s="4"/>
      <c r="BG272" s="4"/>
      <c r="BH272" s="4"/>
      <c r="BI272" s="4"/>
      <c r="BJ272" s="4"/>
      <c r="BK272" s="4"/>
      <c r="BL272" s="4"/>
      <c r="BM272" s="4"/>
      <c r="BN272" s="4"/>
      <c r="BO272" s="135"/>
      <c r="BP272" s="135"/>
      <c r="BQ272" s="135"/>
      <c r="BR272" s="4"/>
      <c r="BS272" s="4"/>
      <c r="BT272" s="118"/>
      <c r="BU272" s="4"/>
      <c r="BV272" s="4"/>
      <c r="BW272" s="4"/>
      <c r="BX272" s="4"/>
      <c r="BY272" s="4"/>
      <c r="BZ272" s="4"/>
      <c r="CA272" s="118"/>
      <c r="CB272" s="4"/>
      <c r="CC272" s="4"/>
      <c r="CD272" s="4"/>
      <c r="CE272" s="135"/>
      <c r="CF272" s="135"/>
      <c r="CG272" s="135"/>
      <c r="CH272" s="135"/>
      <c r="CI272" s="135"/>
      <c r="CJ272" s="135"/>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118"/>
      <c r="DU272" s="4"/>
      <c r="DV272" s="4"/>
      <c r="DW272" s="4"/>
      <c r="DX272" s="4"/>
      <c r="DY272" s="4"/>
      <c r="DZ272" s="4"/>
      <c r="EA272" s="4"/>
      <c r="EB272" s="4"/>
      <c r="EC272" s="4"/>
    </row>
    <row r="273" spans="1:133" s="1" customFormat="1" ht="30" customHeight="1" thickBot="1" x14ac:dyDescent="0.35">
      <c r="A273" s="7" t="s">
        <v>11</v>
      </c>
      <c r="B273" s="87" t="s">
        <v>152</v>
      </c>
      <c r="C273" s="88"/>
      <c r="D273" s="89"/>
      <c r="E273" s="90"/>
      <c r="F273" s="91"/>
      <c r="G273" s="31" t="str">
        <f t="shared" si="56"/>
        <v/>
      </c>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118"/>
      <c r="AM273" s="4"/>
      <c r="AN273" s="4"/>
      <c r="AO273" s="4"/>
      <c r="AP273" s="4"/>
      <c r="AQ273" s="135"/>
      <c r="AR273" s="4"/>
      <c r="AS273" s="4"/>
      <c r="AT273" s="4"/>
      <c r="AU273" s="4"/>
      <c r="AV273" s="4"/>
      <c r="AW273" s="4"/>
      <c r="AX273" s="4"/>
      <c r="AY273" s="4"/>
      <c r="AZ273" s="4"/>
      <c r="BA273" s="4"/>
      <c r="BB273" s="4"/>
      <c r="BC273" s="135"/>
      <c r="BD273" s="4"/>
      <c r="BE273" s="4"/>
      <c r="BF273" s="4"/>
      <c r="BG273" s="4"/>
      <c r="BH273" s="4"/>
      <c r="BI273" s="4"/>
      <c r="BJ273" s="4"/>
      <c r="BK273" s="4"/>
      <c r="BL273" s="4"/>
      <c r="BM273" s="4"/>
      <c r="BN273" s="4"/>
      <c r="BO273" s="135"/>
      <c r="BP273" s="135"/>
      <c r="BQ273" s="135"/>
      <c r="BR273" s="4"/>
      <c r="BS273" s="4"/>
      <c r="BT273" s="118"/>
      <c r="BU273" s="4"/>
      <c r="BV273" s="4"/>
      <c r="BW273" s="4"/>
      <c r="BX273" s="4"/>
      <c r="BY273" s="4"/>
      <c r="BZ273" s="4"/>
      <c r="CA273" s="118"/>
      <c r="CB273" s="4"/>
      <c r="CC273" s="4"/>
      <c r="CD273" s="4"/>
      <c r="CE273" s="135"/>
      <c r="CF273" s="135"/>
      <c r="CG273" s="135"/>
      <c r="CH273" s="135"/>
      <c r="CI273" s="135"/>
      <c r="CJ273" s="135"/>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118"/>
      <c r="DU273" s="4"/>
      <c r="DV273" s="4"/>
      <c r="DW273" s="4"/>
      <c r="DX273" s="4"/>
      <c r="DY273" s="4"/>
      <c r="DZ273" s="4"/>
      <c r="EA273" s="4"/>
      <c r="EB273" s="4"/>
      <c r="EC273" s="4"/>
    </row>
    <row r="274" spans="1:133" s="1" customFormat="1" ht="30" customHeight="1" thickBot="1" x14ac:dyDescent="0.35">
      <c r="A274" s="7"/>
      <c r="B274" s="92" t="s">
        <v>228</v>
      </c>
      <c r="C274" s="93" t="s">
        <v>246</v>
      </c>
      <c r="D274" s="94"/>
      <c r="E274" s="95">
        <v>46397</v>
      </c>
      <c r="F274" s="95">
        <v>46397</v>
      </c>
      <c r="G274" s="31">
        <f t="shared" si="56"/>
        <v>1</v>
      </c>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118"/>
      <c r="AM274" s="4"/>
      <c r="AN274" s="4"/>
      <c r="AO274" s="4"/>
      <c r="AP274" s="4"/>
      <c r="AQ274" s="135"/>
      <c r="AR274" s="4"/>
      <c r="AS274" s="4"/>
      <c r="AT274" s="4"/>
      <c r="AU274" s="4"/>
      <c r="AV274" s="4"/>
      <c r="AW274" s="4"/>
      <c r="AX274" s="4"/>
      <c r="AY274" s="4"/>
      <c r="AZ274" s="4"/>
      <c r="BA274" s="4"/>
      <c r="BB274" s="4"/>
      <c r="BC274" s="135"/>
      <c r="BD274" s="4"/>
      <c r="BE274" s="4"/>
      <c r="BF274" s="4"/>
      <c r="BG274" s="4"/>
      <c r="BH274" s="4"/>
      <c r="BI274" s="4"/>
      <c r="BJ274" s="4"/>
      <c r="BK274" s="4"/>
      <c r="BL274" s="4"/>
      <c r="BM274" s="4"/>
      <c r="BN274" s="4"/>
      <c r="BO274" s="135"/>
      <c r="BP274" s="135"/>
      <c r="BQ274" s="135"/>
      <c r="BR274" s="4"/>
      <c r="BS274" s="4"/>
      <c r="BT274" s="118"/>
      <c r="BU274" s="4"/>
      <c r="BV274" s="4"/>
      <c r="BW274" s="4"/>
      <c r="BX274" s="4"/>
      <c r="BY274" s="4"/>
      <c r="BZ274" s="4"/>
      <c r="CA274" s="118"/>
      <c r="CB274" s="4"/>
      <c r="CC274" s="4"/>
      <c r="CD274" s="4"/>
      <c r="CE274" s="135"/>
      <c r="CF274" s="135"/>
      <c r="CG274" s="135"/>
      <c r="CH274" s="135"/>
      <c r="CI274" s="135"/>
      <c r="CJ274" s="135"/>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118"/>
      <c r="DU274" s="4"/>
      <c r="DV274" s="4"/>
      <c r="DW274" s="4"/>
      <c r="DX274" s="4"/>
      <c r="DY274" s="4"/>
      <c r="DZ274" s="4"/>
      <c r="EA274" s="4"/>
      <c r="EB274" s="4"/>
      <c r="EC274" s="4"/>
    </row>
    <row r="275" spans="1:133" s="1" customFormat="1" ht="30" customHeight="1" thickBot="1" x14ac:dyDescent="0.35">
      <c r="A275" s="7"/>
      <c r="B275" s="92" t="s">
        <v>232</v>
      </c>
      <c r="C275" s="93" t="s">
        <v>246</v>
      </c>
      <c r="D275" s="94"/>
      <c r="E275" s="95">
        <v>46398</v>
      </c>
      <c r="F275" s="95">
        <v>46398</v>
      </c>
      <c r="G275" s="31">
        <f t="shared" si="56"/>
        <v>1</v>
      </c>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118"/>
      <c r="AM275" s="4"/>
      <c r="AN275" s="4"/>
      <c r="AO275" s="4"/>
      <c r="AP275" s="4"/>
      <c r="AQ275" s="135"/>
      <c r="AR275" s="4"/>
      <c r="AS275" s="4"/>
      <c r="AT275" s="4"/>
      <c r="AU275" s="4"/>
      <c r="AV275" s="4"/>
      <c r="AW275" s="4"/>
      <c r="AX275" s="4"/>
      <c r="AY275" s="4"/>
      <c r="AZ275" s="4"/>
      <c r="BA275" s="4"/>
      <c r="BB275" s="4"/>
      <c r="BC275" s="135"/>
      <c r="BD275" s="4"/>
      <c r="BE275" s="4"/>
      <c r="BF275" s="4"/>
      <c r="BG275" s="4"/>
      <c r="BH275" s="4"/>
      <c r="BI275" s="4"/>
      <c r="BJ275" s="4"/>
      <c r="BK275" s="4"/>
      <c r="BL275" s="4"/>
      <c r="BM275" s="4"/>
      <c r="BN275" s="4"/>
      <c r="BO275" s="135"/>
      <c r="BP275" s="135"/>
      <c r="BQ275" s="135"/>
      <c r="BR275" s="4"/>
      <c r="BS275" s="4"/>
      <c r="BT275" s="118"/>
      <c r="BU275" s="4"/>
      <c r="BV275" s="4"/>
      <c r="BW275" s="4"/>
      <c r="BX275" s="4"/>
      <c r="BY275" s="4"/>
      <c r="BZ275" s="4"/>
      <c r="CA275" s="118"/>
      <c r="CB275" s="4"/>
      <c r="CC275" s="4"/>
      <c r="CD275" s="4"/>
      <c r="CE275" s="135"/>
      <c r="CF275" s="135"/>
      <c r="CG275" s="135"/>
      <c r="CH275" s="135"/>
      <c r="CI275" s="135"/>
      <c r="CJ275" s="135"/>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118"/>
      <c r="DU275" s="4"/>
      <c r="DV275" s="4"/>
      <c r="DW275" s="4"/>
      <c r="DX275" s="4"/>
      <c r="DY275" s="4"/>
      <c r="DZ275" s="4"/>
      <c r="EA275" s="4"/>
      <c r="EB275" s="4"/>
      <c r="EC275" s="4"/>
    </row>
    <row r="276" spans="1:133" s="1" customFormat="1" ht="30" customHeight="1" thickBot="1" x14ac:dyDescent="0.35">
      <c r="A276" s="7" t="s">
        <v>12</v>
      </c>
      <c r="B276" s="19"/>
      <c r="C276" s="16"/>
      <c r="D276" s="36"/>
      <c r="E276" s="62"/>
      <c r="F276" s="62"/>
      <c r="G276" s="31" t="str">
        <f t="shared" si="56"/>
        <v/>
      </c>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118"/>
      <c r="AM276" s="4"/>
      <c r="AN276" s="4"/>
      <c r="AO276" s="4"/>
      <c r="AP276" s="4"/>
      <c r="AQ276" s="135"/>
      <c r="AR276" s="4"/>
      <c r="AS276" s="4"/>
      <c r="AT276" s="4"/>
      <c r="AU276" s="4"/>
      <c r="AV276" s="4"/>
      <c r="AW276" s="4"/>
      <c r="AX276" s="4"/>
      <c r="AY276" s="4"/>
      <c r="AZ276" s="4"/>
      <c r="BA276" s="4"/>
      <c r="BB276" s="4"/>
      <c r="BC276" s="135"/>
      <c r="BD276" s="4"/>
      <c r="BE276" s="4"/>
      <c r="BF276" s="4"/>
      <c r="BG276" s="4"/>
      <c r="BH276" s="4"/>
      <c r="BI276" s="4"/>
      <c r="BJ276" s="4"/>
      <c r="BK276" s="4"/>
      <c r="BL276" s="4"/>
      <c r="BM276" s="4"/>
      <c r="BN276" s="4"/>
      <c r="BO276" s="135"/>
      <c r="BP276" s="135"/>
      <c r="BQ276" s="135"/>
      <c r="BR276" s="4"/>
      <c r="BS276" s="4"/>
      <c r="BT276" s="118"/>
      <c r="BU276" s="4"/>
      <c r="BV276" s="4"/>
      <c r="BW276" s="4"/>
      <c r="BX276" s="4"/>
      <c r="BY276" s="4"/>
      <c r="BZ276" s="4"/>
      <c r="CA276" s="118"/>
      <c r="CB276" s="4"/>
      <c r="CC276" s="4"/>
      <c r="CD276" s="4"/>
      <c r="CE276" s="135"/>
      <c r="CF276" s="135"/>
      <c r="CG276" s="135"/>
      <c r="CH276" s="135"/>
      <c r="CI276" s="135"/>
      <c r="CJ276" s="135"/>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118"/>
      <c r="DU276" s="4"/>
      <c r="DV276" s="4"/>
      <c r="DW276" s="4"/>
      <c r="DX276" s="4"/>
      <c r="DY276" s="4"/>
      <c r="DZ276" s="4"/>
      <c r="EA276" s="4"/>
      <c r="EB276" s="4"/>
      <c r="EC276" s="4"/>
    </row>
    <row r="277" spans="1:133" s="1" customFormat="1" ht="30" customHeight="1" thickBot="1" x14ac:dyDescent="0.35">
      <c r="A277" s="8" t="s">
        <v>13</v>
      </c>
      <c r="B277" s="37" t="s">
        <v>15</v>
      </c>
      <c r="C277" s="38"/>
      <c r="D277" s="39"/>
      <c r="E277" s="63"/>
      <c r="F277" s="64"/>
      <c r="G277" s="40" t="str">
        <f t="shared" si="56"/>
        <v/>
      </c>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118"/>
      <c r="AM277" s="6"/>
      <c r="AN277" s="6"/>
      <c r="AO277" s="6"/>
      <c r="AP277" s="6"/>
      <c r="AQ277" s="135"/>
      <c r="AR277" s="6"/>
      <c r="AS277" s="6"/>
      <c r="AT277" s="6"/>
      <c r="AU277" s="6"/>
      <c r="AV277" s="6"/>
      <c r="AW277" s="6"/>
      <c r="AX277" s="6"/>
      <c r="AY277" s="6"/>
      <c r="AZ277" s="6"/>
      <c r="BA277" s="6"/>
      <c r="BB277" s="6"/>
      <c r="BC277" s="135"/>
      <c r="BD277" s="6"/>
      <c r="BE277" s="6"/>
      <c r="BF277" s="6"/>
      <c r="BG277" s="6"/>
      <c r="BH277" s="6"/>
      <c r="BI277" s="6"/>
      <c r="BJ277" s="6"/>
      <c r="BK277" s="6"/>
      <c r="BL277" s="6"/>
      <c r="BM277" s="6"/>
      <c r="BN277" s="6"/>
      <c r="BO277" s="135"/>
      <c r="BP277" s="135"/>
      <c r="BQ277" s="135"/>
      <c r="BR277" s="6"/>
      <c r="BS277" s="6"/>
      <c r="BT277" s="118"/>
      <c r="BU277" s="6"/>
      <c r="BV277" s="6"/>
      <c r="BW277" s="6"/>
      <c r="BX277" s="6"/>
      <c r="BY277" s="6"/>
      <c r="BZ277" s="6"/>
      <c r="CA277" s="118"/>
      <c r="CB277" s="6"/>
      <c r="CC277" s="6"/>
      <c r="CD277" s="6"/>
      <c r="CE277" s="135"/>
      <c r="CF277" s="135"/>
      <c r="CG277" s="135"/>
      <c r="CH277" s="135"/>
      <c r="CI277" s="135"/>
      <c r="CJ277" s="135"/>
      <c r="CK277" s="6"/>
      <c r="CL277" s="6"/>
      <c r="CM277" s="6"/>
      <c r="CN277" s="6"/>
      <c r="CO277" s="6"/>
      <c r="CP277" s="6"/>
      <c r="CQ277" s="6"/>
      <c r="CR277" s="6"/>
      <c r="CS277" s="6"/>
      <c r="CT277" s="6"/>
      <c r="CU277" s="6"/>
      <c r="CV277" s="6"/>
      <c r="CW277" s="6"/>
      <c r="CX277" s="6"/>
      <c r="CY277" s="6"/>
      <c r="CZ277" s="6"/>
      <c r="DA277" s="6"/>
      <c r="DB277" s="6"/>
      <c r="DC277" s="6"/>
      <c r="DD277" s="6"/>
      <c r="DE277" s="6"/>
      <c r="DF277" s="6"/>
      <c r="DG277" s="6"/>
      <c r="DH277" s="6"/>
      <c r="DI277" s="6"/>
      <c r="DJ277" s="6"/>
      <c r="DK277" s="6"/>
      <c r="DL277" s="6"/>
      <c r="DM277" s="6"/>
      <c r="DN277" s="6"/>
      <c r="DO277" s="6"/>
      <c r="DP277" s="6"/>
      <c r="DQ277" s="6"/>
      <c r="DR277" s="6"/>
      <c r="DS277" s="6"/>
      <c r="DT277" s="118"/>
      <c r="DU277" s="6"/>
      <c r="DV277" s="6"/>
      <c r="DW277" s="6"/>
      <c r="DX277" s="6"/>
      <c r="DY277" s="6"/>
      <c r="DZ277" s="6"/>
      <c r="EA277" s="6"/>
      <c r="EB277" s="6"/>
      <c r="EC277" s="6"/>
    </row>
    <row r="279" spans="1:133" ht="30" customHeight="1" x14ac:dyDescent="0.3">
      <c r="C279" s="41"/>
      <c r="F279" s="42"/>
    </row>
    <row r="280" spans="1:133" ht="30" customHeight="1" x14ac:dyDescent="0.3">
      <c r="C280" s="43"/>
    </row>
  </sheetData>
  <mergeCells count="23">
    <mergeCell ref="C3:D3"/>
    <mergeCell ref="C4:D4"/>
    <mergeCell ref="AJ4:AP4"/>
    <mergeCell ref="AQ4:AW4"/>
    <mergeCell ref="AX4:BD4"/>
    <mergeCell ref="BE4:BK4"/>
    <mergeCell ref="E3:F3"/>
    <mergeCell ref="H4:N4"/>
    <mergeCell ref="O4:U4"/>
    <mergeCell ref="V4:AB4"/>
    <mergeCell ref="AC4:AI4"/>
    <mergeCell ref="DW4:EC4"/>
    <mergeCell ref="BL4:BR4"/>
    <mergeCell ref="BS4:BY4"/>
    <mergeCell ref="BZ4:CF4"/>
    <mergeCell ref="CG4:CM4"/>
    <mergeCell ref="CN4:CT4"/>
    <mergeCell ref="CB1:CU1"/>
    <mergeCell ref="CU4:DA4"/>
    <mergeCell ref="DB4:DH4"/>
    <mergeCell ref="DI4:DO4"/>
    <mergeCell ref="DP4:DV4"/>
    <mergeCell ref="CE2:CJ2"/>
  </mergeCells>
  <phoneticPr fontId="29"/>
  <conditionalFormatting sqref="D7:D12 D276:D277 D14:D20 D34:D38 D43 D62:D70 D102:D106">
    <cfRule type="dataBar" priority="963">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BL5:BQ277 DI5:EB277 H5:BJ142 H144:BJ277 H143:BI143">
    <cfRule type="expression" dxfId="24" priority="982">
      <formula>AND(TODAY()&gt;=H$5,TODAY()&lt;I$5)</formula>
    </cfRule>
  </conditionalFormatting>
  <conditionalFormatting sqref="BL7:BQ277 DI7:EB277 H7:BJ142 H144:BJ277 H143:BI143">
    <cfRule type="expression" dxfId="23" priority="976">
      <formula>AND(タスク_開始&lt;=H$5,ROUNDDOWN((タスク_終了-タスク_開始+1)*タスク_進捗状況,0)+タスク_開始-1&gt;=H$5)</formula>
    </cfRule>
    <cfRule type="expression" dxfId="22" priority="977" stopIfTrue="1">
      <formula>AND(タスク_終了&gt;=H$5,タスク_開始&lt;I$5)</formula>
    </cfRule>
  </conditionalFormatting>
  <conditionalFormatting sqref="D73:D76 D78">
    <cfRule type="dataBar" priority="946">
      <dataBar>
        <cfvo type="num" val="0"/>
        <cfvo type="num" val="1"/>
        <color theme="0" tint="-0.249977111117893"/>
      </dataBar>
      <extLst>
        <ext xmlns:x14="http://schemas.microsoft.com/office/spreadsheetml/2009/9/main" uri="{B025F937-C7B1-47D3-B67F-A62EFF666E3E}">
          <x14:id>{CE317B0D-0A9B-4FFB-BFBB-EDFF6AD61021}</x14:id>
        </ext>
      </extLst>
    </cfRule>
  </conditionalFormatting>
  <conditionalFormatting sqref="D86:D90 D92">
    <cfRule type="dataBar" priority="942">
      <dataBar>
        <cfvo type="num" val="0"/>
        <cfvo type="num" val="1"/>
        <color theme="0" tint="-0.249977111117893"/>
      </dataBar>
      <extLst>
        <ext xmlns:x14="http://schemas.microsoft.com/office/spreadsheetml/2009/9/main" uri="{B025F937-C7B1-47D3-B67F-A62EFF666E3E}">
          <x14:id>{148D9BC2-E984-4787-9F72-CDF070986106}</x14:id>
        </ext>
      </extLst>
    </cfRule>
  </conditionalFormatting>
  <conditionalFormatting sqref="D13">
    <cfRule type="dataBar" priority="934">
      <dataBar>
        <cfvo type="num" val="0"/>
        <cfvo type="num" val="1"/>
        <color theme="0" tint="-0.249977111117893"/>
      </dataBar>
      <extLst>
        <ext xmlns:x14="http://schemas.microsoft.com/office/spreadsheetml/2009/9/main" uri="{B025F937-C7B1-47D3-B67F-A62EFF666E3E}">
          <x14:id>{75BDC9C7-998C-4F35-A74A-70E06D97BA93}</x14:id>
        </ext>
      </extLst>
    </cfRule>
  </conditionalFormatting>
  <conditionalFormatting sqref="D24">
    <cfRule type="dataBar" priority="926">
      <dataBar>
        <cfvo type="num" val="0"/>
        <cfvo type="num" val="1"/>
        <color theme="0" tint="-0.249977111117893"/>
      </dataBar>
      <extLst>
        <ext xmlns:x14="http://schemas.microsoft.com/office/spreadsheetml/2009/9/main" uri="{B025F937-C7B1-47D3-B67F-A62EFF666E3E}">
          <x14:id>{F71AFC87-1EEF-41AD-AAB0-D7E78F3AD625}</x14:id>
        </ext>
      </extLst>
    </cfRule>
  </conditionalFormatting>
  <conditionalFormatting sqref="D22:D23">
    <cfRule type="dataBar" priority="922">
      <dataBar>
        <cfvo type="num" val="0"/>
        <cfvo type="num" val="1"/>
        <color theme="0" tint="-0.249977111117893"/>
      </dataBar>
      <extLst>
        <ext xmlns:x14="http://schemas.microsoft.com/office/spreadsheetml/2009/9/main" uri="{B025F937-C7B1-47D3-B67F-A62EFF666E3E}">
          <x14:id>{C8F9CB4C-2954-41F7-BE4C-D23575E64074}</x14:id>
        </ext>
      </extLst>
    </cfRule>
  </conditionalFormatting>
  <conditionalFormatting sqref="D21">
    <cfRule type="dataBar" priority="918">
      <dataBar>
        <cfvo type="num" val="0"/>
        <cfvo type="num" val="1"/>
        <color theme="0" tint="-0.249977111117893"/>
      </dataBar>
      <extLst>
        <ext xmlns:x14="http://schemas.microsoft.com/office/spreadsheetml/2009/9/main" uri="{B025F937-C7B1-47D3-B67F-A62EFF666E3E}">
          <x14:id>{FB2679CE-EA30-4DE5-8E3B-64FFC4F7E5D8}</x14:id>
        </ext>
      </extLst>
    </cfRule>
  </conditionalFormatting>
  <conditionalFormatting sqref="D29">
    <cfRule type="dataBar" priority="910">
      <dataBar>
        <cfvo type="num" val="0"/>
        <cfvo type="num" val="1"/>
        <color theme="0" tint="-0.249977111117893"/>
      </dataBar>
      <extLst>
        <ext xmlns:x14="http://schemas.microsoft.com/office/spreadsheetml/2009/9/main" uri="{B025F937-C7B1-47D3-B67F-A62EFF666E3E}">
          <x14:id>{8B99CA9C-E426-44CE-BAA1-47720A9FCE0D}</x14:id>
        </ext>
      </extLst>
    </cfRule>
  </conditionalFormatting>
  <conditionalFormatting sqref="D28">
    <cfRule type="dataBar" priority="906">
      <dataBar>
        <cfvo type="num" val="0"/>
        <cfvo type="num" val="1"/>
        <color theme="0" tint="-0.249977111117893"/>
      </dataBar>
      <extLst>
        <ext xmlns:x14="http://schemas.microsoft.com/office/spreadsheetml/2009/9/main" uri="{B025F937-C7B1-47D3-B67F-A62EFF666E3E}">
          <x14:id>{AB27027D-5D1F-41F9-8B86-F4A29340CB0A}</x14:id>
        </ext>
      </extLst>
    </cfRule>
  </conditionalFormatting>
  <conditionalFormatting sqref="D27">
    <cfRule type="dataBar" priority="902">
      <dataBar>
        <cfvo type="num" val="0"/>
        <cfvo type="num" val="1"/>
        <color theme="0" tint="-0.249977111117893"/>
      </dataBar>
      <extLst>
        <ext xmlns:x14="http://schemas.microsoft.com/office/spreadsheetml/2009/9/main" uri="{B025F937-C7B1-47D3-B67F-A62EFF666E3E}">
          <x14:id>{0EC41953-5A81-4F21-8E07-63123EEFBDA3}</x14:id>
        </ext>
      </extLst>
    </cfRule>
  </conditionalFormatting>
  <conditionalFormatting sqref="D26">
    <cfRule type="dataBar" priority="898">
      <dataBar>
        <cfvo type="num" val="0"/>
        <cfvo type="num" val="1"/>
        <color theme="0" tint="-0.249977111117893"/>
      </dataBar>
      <extLst>
        <ext xmlns:x14="http://schemas.microsoft.com/office/spreadsheetml/2009/9/main" uri="{B025F937-C7B1-47D3-B67F-A62EFF666E3E}">
          <x14:id>{6329D946-E756-4B72-9338-8E016ACC3426}</x14:id>
        </ext>
      </extLst>
    </cfRule>
  </conditionalFormatting>
  <conditionalFormatting sqref="D25">
    <cfRule type="dataBar" priority="894">
      <dataBar>
        <cfvo type="num" val="0"/>
        <cfvo type="num" val="1"/>
        <color theme="0" tint="-0.249977111117893"/>
      </dataBar>
      <extLst>
        <ext xmlns:x14="http://schemas.microsoft.com/office/spreadsheetml/2009/9/main" uri="{B025F937-C7B1-47D3-B67F-A62EFF666E3E}">
          <x14:id>{198FD970-A431-48D4-A626-37930BFB6DFF}</x14:id>
        </ext>
      </extLst>
    </cfRule>
  </conditionalFormatting>
  <conditionalFormatting sqref="D33">
    <cfRule type="dataBar" priority="890">
      <dataBar>
        <cfvo type="num" val="0"/>
        <cfvo type="num" val="1"/>
        <color theme="0" tint="-0.249977111117893"/>
      </dataBar>
      <extLst>
        <ext xmlns:x14="http://schemas.microsoft.com/office/spreadsheetml/2009/9/main" uri="{B025F937-C7B1-47D3-B67F-A62EFF666E3E}">
          <x14:id>{0C19300A-9D97-41A3-AF53-85EB94CA3AEC}</x14:id>
        </ext>
      </extLst>
    </cfRule>
  </conditionalFormatting>
  <conditionalFormatting sqref="D31:D32">
    <cfRule type="dataBar" priority="886">
      <dataBar>
        <cfvo type="num" val="0"/>
        <cfvo type="num" val="1"/>
        <color theme="0" tint="-0.249977111117893"/>
      </dataBar>
      <extLst>
        <ext xmlns:x14="http://schemas.microsoft.com/office/spreadsheetml/2009/9/main" uri="{B025F937-C7B1-47D3-B67F-A62EFF666E3E}">
          <x14:id>{8F7AD1B4-A85C-40F3-AFDC-8A3E818FA149}</x14:id>
        </ext>
      </extLst>
    </cfRule>
  </conditionalFormatting>
  <conditionalFormatting sqref="D30">
    <cfRule type="dataBar" priority="882">
      <dataBar>
        <cfvo type="num" val="0"/>
        <cfvo type="num" val="1"/>
        <color theme="0" tint="-0.249977111117893"/>
      </dataBar>
      <extLst>
        <ext xmlns:x14="http://schemas.microsoft.com/office/spreadsheetml/2009/9/main" uri="{B025F937-C7B1-47D3-B67F-A62EFF666E3E}">
          <x14:id>{0F272D1D-29C9-44F1-8BBD-9055070C8AE0}</x14:id>
        </ext>
      </extLst>
    </cfRule>
  </conditionalFormatting>
  <conditionalFormatting sqref="D40">
    <cfRule type="dataBar" priority="878">
      <dataBar>
        <cfvo type="num" val="0"/>
        <cfvo type="num" val="1"/>
        <color theme="0" tint="-0.249977111117893"/>
      </dataBar>
      <extLst>
        <ext xmlns:x14="http://schemas.microsoft.com/office/spreadsheetml/2009/9/main" uri="{B025F937-C7B1-47D3-B67F-A62EFF666E3E}">
          <x14:id>{CA4B4B32-1060-46DC-BE81-3A0AA194BE1B}</x14:id>
        </ext>
      </extLst>
    </cfRule>
  </conditionalFormatting>
  <conditionalFormatting sqref="D44:D48 D53">
    <cfRule type="dataBar" priority="874">
      <dataBar>
        <cfvo type="num" val="0"/>
        <cfvo type="num" val="1"/>
        <color theme="0" tint="-0.249977111117893"/>
      </dataBar>
      <extLst>
        <ext xmlns:x14="http://schemas.microsoft.com/office/spreadsheetml/2009/9/main" uri="{B025F937-C7B1-47D3-B67F-A62EFF666E3E}">
          <x14:id>{E0C84256-2C1D-421B-9CBB-E5462A20ADE8}</x14:id>
        </ext>
      </extLst>
    </cfRule>
  </conditionalFormatting>
  <conditionalFormatting sqref="D50">
    <cfRule type="dataBar" priority="870">
      <dataBar>
        <cfvo type="num" val="0"/>
        <cfvo type="num" val="1"/>
        <color theme="0" tint="-0.249977111117893"/>
      </dataBar>
      <extLst>
        <ext xmlns:x14="http://schemas.microsoft.com/office/spreadsheetml/2009/9/main" uri="{B025F937-C7B1-47D3-B67F-A62EFF666E3E}">
          <x14:id>{7B54416B-61BA-42A7-A03E-FCE137E4CCA6}</x14:id>
        </ext>
      </extLst>
    </cfRule>
  </conditionalFormatting>
  <conditionalFormatting sqref="D54:D58">
    <cfRule type="dataBar" priority="866">
      <dataBar>
        <cfvo type="num" val="0"/>
        <cfvo type="num" val="1"/>
        <color theme="0" tint="-0.249977111117893"/>
      </dataBar>
      <extLst>
        <ext xmlns:x14="http://schemas.microsoft.com/office/spreadsheetml/2009/9/main" uri="{B025F937-C7B1-47D3-B67F-A62EFF666E3E}">
          <x14:id>{7BBFF9C5-1BF3-428F-8350-92CAE95BFB31}</x14:id>
        </ext>
      </extLst>
    </cfRule>
  </conditionalFormatting>
  <conditionalFormatting sqref="D41:D42">
    <cfRule type="dataBar" priority="862">
      <dataBar>
        <cfvo type="num" val="0"/>
        <cfvo type="num" val="1"/>
        <color theme="0" tint="-0.249977111117893"/>
      </dataBar>
      <extLst>
        <ext xmlns:x14="http://schemas.microsoft.com/office/spreadsheetml/2009/9/main" uri="{B025F937-C7B1-47D3-B67F-A62EFF666E3E}">
          <x14:id>{3CA4EA70-2BF9-47B1-BEB8-3C7A3D2F2145}</x14:id>
        </ext>
      </extLst>
    </cfRule>
  </conditionalFormatting>
  <conditionalFormatting sqref="D39">
    <cfRule type="dataBar" priority="858">
      <dataBar>
        <cfvo type="num" val="0"/>
        <cfvo type="num" val="1"/>
        <color theme="0" tint="-0.249977111117893"/>
      </dataBar>
      <extLst>
        <ext xmlns:x14="http://schemas.microsoft.com/office/spreadsheetml/2009/9/main" uri="{B025F937-C7B1-47D3-B67F-A62EFF666E3E}">
          <x14:id>{EE7A08AE-07EB-4005-832F-8F4C4EECA5E4}</x14:id>
        </ext>
      </extLst>
    </cfRule>
  </conditionalFormatting>
  <conditionalFormatting sqref="D49">
    <cfRule type="dataBar" priority="854">
      <dataBar>
        <cfvo type="num" val="0"/>
        <cfvo type="num" val="1"/>
        <color theme="0" tint="-0.249977111117893"/>
      </dataBar>
      <extLst>
        <ext xmlns:x14="http://schemas.microsoft.com/office/spreadsheetml/2009/9/main" uri="{B025F937-C7B1-47D3-B67F-A62EFF666E3E}">
          <x14:id>{F3B836F6-EA57-4A10-9B8A-C572D9641C50}</x14:id>
        </ext>
      </extLst>
    </cfRule>
  </conditionalFormatting>
  <conditionalFormatting sqref="D51:D52">
    <cfRule type="dataBar" priority="850">
      <dataBar>
        <cfvo type="num" val="0"/>
        <cfvo type="num" val="1"/>
        <color theme="0" tint="-0.249977111117893"/>
      </dataBar>
      <extLst>
        <ext xmlns:x14="http://schemas.microsoft.com/office/spreadsheetml/2009/9/main" uri="{B025F937-C7B1-47D3-B67F-A62EFF666E3E}">
          <x14:id>{22DEA8E4-5D9D-46AC-88B0-266079E48336}</x14:id>
        </ext>
      </extLst>
    </cfRule>
  </conditionalFormatting>
  <conditionalFormatting sqref="D61">
    <cfRule type="dataBar" priority="846">
      <dataBar>
        <cfvo type="num" val="0"/>
        <cfvo type="num" val="1"/>
        <color theme="0" tint="-0.249977111117893"/>
      </dataBar>
      <extLst>
        <ext xmlns:x14="http://schemas.microsoft.com/office/spreadsheetml/2009/9/main" uri="{B025F937-C7B1-47D3-B67F-A62EFF666E3E}">
          <x14:id>{BC58B9EE-2A43-450B-83BB-558A35D1D94C}</x14:id>
        </ext>
      </extLst>
    </cfRule>
  </conditionalFormatting>
  <conditionalFormatting sqref="D60">
    <cfRule type="dataBar" priority="842">
      <dataBar>
        <cfvo type="num" val="0"/>
        <cfvo type="num" val="1"/>
        <color theme="0" tint="-0.249977111117893"/>
      </dataBar>
      <extLst>
        <ext xmlns:x14="http://schemas.microsoft.com/office/spreadsheetml/2009/9/main" uri="{B025F937-C7B1-47D3-B67F-A62EFF666E3E}">
          <x14:id>{2F6F33A5-8868-403E-84F3-353938830FFC}</x14:id>
        </ext>
      </extLst>
    </cfRule>
  </conditionalFormatting>
  <conditionalFormatting sqref="D59">
    <cfRule type="dataBar" priority="838">
      <dataBar>
        <cfvo type="num" val="0"/>
        <cfvo type="num" val="1"/>
        <color theme="0" tint="-0.249977111117893"/>
      </dataBar>
      <extLst>
        <ext xmlns:x14="http://schemas.microsoft.com/office/spreadsheetml/2009/9/main" uri="{B025F937-C7B1-47D3-B67F-A62EFF666E3E}">
          <x14:id>{E26A6B43-474F-43B8-94CE-9D16EFAE6110}</x14:id>
        </ext>
      </extLst>
    </cfRule>
  </conditionalFormatting>
  <conditionalFormatting sqref="D71:D72">
    <cfRule type="dataBar" priority="834">
      <dataBar>
        <cfvo type="num" val="0"/>
        <cfvo type="num" val="1"/>
        <color theme="0" tint="-0.249977111117893"/>
      </dataBar>
      <extLst>
        <ext xmlns:x14="http://schemas.microsoft.com/office/spreadsheetml/2009/9/main" uri="{B025F937-C7B1-47D3-B67F-A62EFF666E3E}">
          <x14:id>{609E7580-1630-4160-9BDB-E28349CF4842}</x14:id>
        </ext>
      </extLst>
    </cfRule>
  </conditionalFormatting>
  <conditionalFormatting sqref="D110:D114 D116">
    <cfRule type="dataBar" priority="830">
      <dataBar>
        <cfvo type="num" val="0"/>
        <cfvo type="num" val="1"/>
        <color theme="0" tint="-0.249977111117893"/>
      </dataBar>
      <extLst>
        <ext xmlns:x14="http://schemas.microsoft.com/office/spreadsheetml/2009/9/main" uri="{B025F937-C7B1-47D3-B67F-A62EFF666E3E}">
          <x14:id>{6D160D0C-6BDD-4F14-B955-D9607411B6D7}</x14:id>
        </ext>
      </extLst>
    </cfRule>
  </conditionalFormatting>
  <conditionalFormatting sqref="D126:D130 D132">
    <cfRule type="dataBar" priority="826">
      <dataBar>
        <cfvo type="num" val="0"/>
        <cfvo type="num" val="1"/>
        <color theme="0" tint="-0.249977111117893"/>
      </dataBar>
      <extLst>
        <ext xmlns:x14="http://schemas.microsoft.com/office/spreadsheetml/2009/9/main" uri="{B025F937-C7B1-47D3-B67F-A62EFF666E3E}">
          <x14:id>{03C20B62-405D-4638-8BB7-3ABCE9E668C9}</x14:id>
        </ext>
      </extLst>
    </cfRule>
  </conditionalFormatting>
  <conditionalFormatting sqref="D79">
    <cfRule type="dataBar" priority="822">
      <dataBar>
        <cfvo type="num" val="0"/>
        <cfvo type="num" val="1"/>
        <color theme="0" tint="-0.249977111117893"/>
      </dataBar>
      <extLst>
        <ext xmlns:x14="http://schemas.microsoft.com/office/spreadsheetml/2009/9/main" uri="{B025F937-C7B1-47D3-B67F-A62EFF666E3E}">
          <x14:id>{DD299EDA-F3B2-4879-A688-0367EFB949EB}</x14:id>
        </ext>
      </extLst>
    </cfRule>
  </conditionalFormatting>
  <conditionalFormatting sqref="D81">
    <cfRule type="dataBar" priority="818">
      <dataBar>
        <cfvo type="num" val="0"/>
        <cfvo type="num" val="1"/>
        <color theme="0" tint="-0.249977111117893"/>
      </dataBar>
      <extLst>
        <ext xmlns:x14="http://schemas.microsoft.com/office/spreadsheetml/2009/9/main" uri="{B025F937-C7B1-47D3-B67F-A62EFF666E3E}">
          <x14:id>{CBB9D2C4-D926-46BE-9470-554B3784463E}</x14:id>
        </ext>
      </extLst>
    </cfRule>
  </conditionalFormatting>
  <conditionalFormatting sqref="D80">
    <cfRule type="dataBar" priority="814">
      <dataBar>
        <cfvo type="num" val="0"/>
        <cfvo type="num" val="1"/>
        <color theme="0" tint="-0.249977111117893"/>
      </dataBar>
      <extLst>
        <ext xmlns:x14="http://schemas.microsoft.com/office/spreadsheetml/2009/9/main" uri="{B025F937-C7B1-47D3-B67F-A62EFF666E3E}">
          <x14:id>{D84E46BF-D55F-4901-982C-415052F205AB}</x14:id>
        </ext>
      </extLst>
    </cfRule>
  </conditionalFormatting>
  <conditionalFormatting sqref="D83">
    <cfRule type="dataBar" priority="810">
      <dataBar>
        <cfvo type="num" val="0"/>
        <cfvo type="num" val="1"/>
        <color theme="0" tint="-0.249977111117893"/>
      </dataBar>
      <extLst>
        <ext xmlns:x14="http://schemas.microsoft.com/office/spreadsheetml/2009/9/main" uri="{B025F937-C7B1-47D3-B67F-A62EFF666E3E}">
          <x14:id>{A43B27E0-5D48-4F32-8DB9-368E20690611}</x14:id>
        </ext>
      </extLst>
    </cfRule>
  </conditionalFormatting>
  <conditionalFormatting sqref="D82">
    <cfRule type="dataBar" priority="806">
      <dataBar>
        <cfvo type="num" val="0"/>
        <cfvo type="num" val="1"/>
        <color theme="0" tint="-0.249977111117893"/>
      </dataBar>
      <extLst>
        <ext xmlns:x14="http://schemas.microsoft.com/office/spreadsheetml/2009/9/main" uri="{B025F937-C7B1-47D3-B67F-A62EFF666E3E}">
          <x14:id>{B4D9F802-7FD8-4B76-AA99-0A9B8B111B7B}</x14:id>
        </ext>
      </extLst>
    </cfRule>
  </conditionalFormatting>
  <conditionalFormatting sqref="D93">
    <cfRule type="dataBar" priority="786">
      <dataBar>
        <cfvo type="num" val="0"/>
        <cfvo type="num" val="1"/>
        <color theme="0" tint="-0.249977111117893"/>
      </dataBar>
      <extLst>
        <ext xmlns:x14="http://schemas.microsoft.com/office/spreadsheetml/2009/9/main" uri="{B025F937-C7B1-47D3-B67F-A62EFF666E3E}">
          <x14:id>{B8E17F8F-09D1-40B1-AADF-FE07C3599080}</x14:id>
        </ext>
      </extLst>
    </cfRule>
  </conditionalFormatting>
  <conditionalFormatting sqref="D95">
    <cfRule type="dataBar" priority="782">
      <dataBar>
        <cfvo type="num" val="0"/>
        <cfvo type="num" val="1"/>
        <color theme="0" tint="-0.249977111117893"/>
      </dataBar>
      <extLst>
        <ext xmlns:x14="http://schemas.microsoft.com/office/spreadsheetml/2009/9/main" uri="{B025F937-C7B1-47D3-B67F-A62EFF666E3E}">
          <x14:id>{2807E1A6-0A61-44D4-8577-130FF8F0553C}</x14:id>
        </ext>
      </extLst>
    </cfRule>
  </conditionalFormatting>
  <conditionalFormatting sqref="D94">
    <cfRule type="dataBar" priority="778">
      <dataBar>
        <cfvo type="num" val="0"/>
        <cfvo type="num" val="1"/>
        <color theme="0" tint="-0.249977111117893"/>
      </dataBar>
      <extLst>
        <ext xmlns:x14="http://schemas.microsoft.com/office/spreadsheetml/2009/9/main" uri="{B025F937-C7B1-47D3-B67F-A62EFF666E3E}">
          <x14:id>{6A4CB0A3-3A2B-4A8C-8F9D-2178B43DFC9C}</x14:id>
        </ext>
      </extLst>
    </cfRule>
  </conditionalFormatting>
  <conditionalFormatting sqref="D107">
    <cfRule type="dataBar" priority="758">
      <dataBar>
        <cfvo type="num" val="0"/>
        <cfvo type="num" val="1"/>
        <color theme="0" tint="-0.249977111117893"/>
      </dataBar>
      <extLst>
        <ext xmlns:x14="http://schemas.microsoft.com/office/spreadsheetml/2009/9/main" uri="{B025F937-C7B1-47D3-B67F-A62EFF666E3E}">
          <x14:id>{CC79C690-5BD7-492C-9BF3-C4B9563F07E5}</x14:id>
        </ext>
      </extLst>
    </cfRule>
  </conditionalFormatting>
  <conditionalFormatting sqref="D108">
    <cfRule type="dataBar" priority="750">
      <dataBar>
        <cfvo type="num" val="0"/>
        <cfvo type="num" val="1"/>
        <color theme="0" tint="-0.249977111117893"/>
      </dataBar>
      <extLst>
        <ext xmlns:x14="http://schemas.microsoft.com/office/spreadsheetml/2009/9/main" uri="{B025F937-C7B1-47D3-B67F-A62EFF666E3E}">
          <x14:id>{F9AC7451-BE64-4312-BEDB-72EBCEF1C516}</x14:id>
        </ext>
      </extLst>
    </cfRule>
  </conditionalFormatting>
  <conditionalFormatting sqref="D109">
    <cfRule type="dataBar" priority="754">
      <dataBar>
        <cfvo type="num" val="0"/>
        <cfvo type="num" val="1"/>
        <color theme="0" tint="-0.249977111117893"/>
      </dataBar>
      <extLst>
        <ext xmlns:x14="http://schemas.microsoft.com/office/spreadsheetml/2009/9/main" uri="{B025F937-C7B1-47D3-B67F-A62EFF666E3E}">
          <x14:id>{D0342EA3-791E-4B78-B826-673DE5DF52F8}</x14:id>
        </ext>
      </extLst>
    </cfRule>
  </conditionalFormatting>
  <conditionalFormatting sqref="D120">
    <cfRule type="dataBar" priority="726">
      <dataBar>
        <cfvo type="num" val="0"/>
        <cfvo type="num" val="1"/>
        <color theme="0" tint="-0.249977111117893"/>
      </dataBar>
      <extLst>
        <ext xmlns:x14="http://schemas.microsoft.com/office/spreadsheetml/2009/9/main" uri="{B025F937-C7B1-47D3-B67F-A62EFF666E3E}">
          <x14:id>{C2CDAF8C-8D0B-48F3-AE5E-341534FFB2C5}</x14:id>
        </ext>
      </extLst>
    </cfRule>
  </conditionalFormatting>
  <conditionalFormatting sqref="D119">
    <cfRule type="dataBar" priority="722">
      <dataBar>
        <cfvo type="num" val="0"/>
        <cfvo type="num" val="1"/>
        <color theme="0" tint="-0.249977111117893"/>
      </dataBar>
      <extLst>
        <ext xmlns:x14="http://schemas.microsoft.com/office/spreadsheetml/2009/9/main" uri="{B025F937-C7B1-47D3-B67F-A62EFF666E3E}">
          <x14:id>{ADE4C67B-7257-49FD-9621-FF1B62025864}</x14:id>
        </ext>
      </extLst>
    </cfRule>
  </conditionalFormatting>
  <conditionalFormatting sqref="D118">
    <cfRule type="dataBar" priority="734">
      <dataBar>
        <cfvo type="num" val="0"/>
        <cfvo type="num" val="1"/>
        <color theme="0" tint="-0.249977111117893"/>
      </dataBar>
      <extLst>
        <ext xmlns:x14="http://schemas.microsoft.com/office/spreadsheetml/2009/9/main" uri="{B025F937-C7B1-47D3-B67F-A62EFF666E3E}">
          <x14:id>{1EF08CF8-0B2F-4661-A794-DD4E67D7605C}</x14:id>
        </ext>
      </extLst>
    </cfRule>
  </conditionalFormatting>
  <conditionalFormatting sqref="D122">
    <cfRule type="dataBar" priority="718">
      <dataBar>
        <cfvo type="num" val="0"/>
        <cfvo type="num" val="1"/>
        <color theme="0" tint="-0.249977111117893"/>
      </dataBar>
      <extLst>
        <ext xmlns:x14="http://schemas.microsoft.com/office/spreadsheetml/2009/9/main" uri="{B025F937-C7B1-47D3-B67F-A62EFF666E3E}">
          <x14:id>{C216737C-E107-4DF2-ACF4-928C5DDC0C1B}</x14:id>
        </ext>
      </extLst>
    </cfRule>
  </conditionalFormatting>
  <conditionalFormatting sqref="D117">
    <cfRule type="dataBar" priority="730">
      <dataBar>
        <cfvo type="num" val="0"/>
        <cfvo type="num" val="1"/>
        <color theme="0" tint="-0.249977111117893"/>
      </dataBar>
      <extLst>
        <ext xmlns:x14="http://schemas.microsoft.com/office/spreadsheetml/2009/9/main" uri="{B025F937-C7B1-47D3-B67F-A62EFF666E3E}">
          <x14:id>{816D7A25-C14A-485F-A381-443618552D53}</x14:id>
        </ext>
      </extLst>
    </cfRule>
  </conditionalFormatting>
  <conditionalFormatting sqref="D133">
    <cfRule type="dataBar" priority="710">
      <dataBar>
        <cfvo type="num" val="0"/>
        <cfvo type="num" val="1"/>
        <color theme="0" tint="-0.249977111117893"/>
      </dataBar>
      <extLst>
        <ext xmlns:x14="http://schemas.microsoft.com/office/spreadsheetml/2009/9/main" uri="{B025F937-C7B1-47D3-B67F-A62EFF666E3E}">
          <x14:id>{83921C04-EED3-4717-9053-AC88B78BA15A}</x14:id>
        </ext>
      </extLst>
    </cfRule>
  </conditionalFormatting>
  <conditionalFormatting sqref="D135">
    <cfRule type="dataBar" priority="706">
      <dataBar>
        <cfvo type="num" val="0"/>
        <cfvo type="num" val="1"/>
        <color theme="0" tint="-0.249977111117893"/>
      </dataBar>
      <extLst>
        <ext xmlns:x14="http://schemas.microsoft.com/office/spreadsheetml/2009/9/main" uri="{B025F937-C7B1-47D3-B67F-A62EFF666E3E}">
          <x14:id>{89994852-004F-46BF-84AB-B900322A514F}</x14:id>
        </ext>
      </extLst>
    </cfRule>
  </conditionalFormatting>
  <conditionalFormatting sqref="D121">
    <cfRule type="dataBar" priority="714">
      <dataBar>
        <cfvo type="num" val="0"/>
        <cfvo type="num" val="1"/>
        <color theme="0" tint="-0.249977111117893"/>
      </dataBar>
      <extLst>
        <ext xmlns:x14="http://schemas.microsoft.com/office/spreadsheetml/2009/9/main" uri="{B025F937-C7B1-47D3-B67F-A62EFF666E3E}">
          <x14:id>{1C0AA46C-28C2-4CA3-96DC-4FF05438ED08}</x14:id>
        </ext>
      </extLst>
    </cfRule>
  </conditionalFormatting>
  <conditionalFormatting sqref="D137">
    <cfRule type="dataBar" priority="698">
      <dataBar>
        <cfvo type="num" val="0"/>
        <cfvo type="num" val="1"/>
        <color theme="0" tint="-0.249977111117893"/>
      </dataBar>
      <extLst>
        <ext xmlns:x14="http://schemas.microsoft.com/office/spreadsheetml/2009/9/main" uri="{B025F937-C7B1-47D3-B67F-A62EFF666E3E}">
          <x14:id>{7AD98BDD-4BC9-4D26-9FCC-C3754340F877}</x14:id>
        </ext>
      </extLst>
    </cfRule>
  </conditionalFormatting>
  <conditionalFormatting sqref="D134">
    <cfRule type="dataBar" priority="702">
      <dataBar>
        <cfvo type="num" val="0"/>
        <cfvo type="num" val="1"/>
        <color theme="0" tint="-0.249977111117893"/>
      </dataBar>
      <extLst>
        <ext xmlns:x14="http://schemas.microsoft.com/office/spreadsheetml/2009/9/main" uri="{B025F937-C7B1-47D3-B67F-A62EFF666E3E}">
          <x14:id>{E150108C-2699-4906-8E24-BB445FA0DCD3}</x14:id>
        </ext>
      </extLst>
    </cfRule>
  </conditionalFormatting>
  <conditionalFormatting sqref="D136">
    <cfRule type="dataBar" priority="694">
      <dataBar>
        <cfvo type="num" val="0"/>
        <cfvo type="num" val="1"/>
        <color theme="0" tint="-0.249977111117893"/>
      </dataBar>
      <extLst>
        <ext xmlns:x14="http://schemas.microsoft.com/office/spreadsheetml/2009/9/main" uri="{B025F937-C7B1-47D3-B67F-A62EFF666E3E}">
          <x14:id>{BBABD573-DA26-4014-9131-B09885DFFBFB}</x14:id>
        </ext>
      </extLst>
    </cfRule>
  </conditionalFormatting>
  <conditionalFormatting sqref="D139">
    <cfRule type="dataBar" priority="690">
      <dataBar>
        <cfvo type="num" val="0"/>
        <cfvo type="num" val="1"/>
        <color theme="0" tint="-0.249977111117893"/>
      </dataBar>
      <extLst>
        <ext xmlns:x14="http://schemas.microsoft.com/office/spreadsheetml/2009/9/main" uri="{B025F937-C7B1-47D3-B67F-A62EFF666E3E}">
          <x14:id>{C401F49A-FD39-49D5-A834-DF46D7F0BA66}</x14:id>
        </ext>
      </extLst>
    </cfRule>
  </conditionalFormatting>
  <conditionalFormatting sqref="D85">
    <cfRule type="dataBar" priority="682">
      <dataBar>
        <cfvo type="num" val="0"/>
        <cfvo type="num" val="1"/>
        <color theme="0" tint="-0.249977111117893"/>
      </dataBar>
      <extLst>
        <ext xmlns:x14="http://schemas.microsoft.com/office/spreadsheetml/2009/9/main" uri="{B025F937-C7B1-47D3-B67F-A62EFF666E3E}">
          <x14:id>{5E158394-04AA-4229-92EC-33BFEB3795C9}</x14:id>
        </ext>
      </extLst>
    </cfRule>
  </conditionalFormatting>
  <conditionalFormatting sqref="D84">
    <cfRule type="dataBar" priority="678">
      <dataBar>
        <cfvo type="num" val="0"/>
        <cfvo type="num" val="1"/>
        <color theme="0" tint="-0.249977111117893"/>
      </dataBar>
      <extLst>
        <ext xmlns:x14="http://schemas.microsoft.com/office/spreadsheetml/2009/9/main" uri="{B025F937-C7B1-47D3-B67F-A62EFF666E3E}">
          <x14:id>{7A022125-17C1-4539-8829-D9529FFB9D97}</x14:id>
        </ext>
      </extLst>
    </cfRule>
  </conditionalFormatting>
  <conditionalFormatting sqref="D98">
    <cfRule type="dataBar" priority="662">
      <dataBar>
        <cfvo type="num" val="0"/>
        <cfvo type="num" val="1"/>
        <color theme="0" tint="-0.249977111117893"/>
      </dataBar>
      <extLst>
        <ext xmlns:x14="http://schemas.microsoft.com/office/spreadsheetml/2009/9/main" uri="{B025F937-C7B1-47D3-B67F-A62EFF666E3E}">
          <x14:id>{1BD2872E-74CF-4F1F-9A9C-3AC8649EB956}</x14:id>
        </ext>
      </extLst>
    </cfRule>
  </conditionalFormatting>
  <conditionalFormatting sqref="D138">
    <cfRule type="dataBar" priority="686">
      <dataBar>
        <cfvo type="num" val="0"/>
        <cfvo type="num" val="1"/>
        <color theme="0" tint="-0.249977111117893"/>
      </dataBar>
      <extLst>
        <ext xmlns:x14="http://schemas.microsoft.com/office/spreadsheetml/2009/9/main" uri="{B025F937-C7B1-47D3-B67F-A62EFF666E3E}">
          <x14:id>{08D6C050-87C5-4474-8CCC-BE63A5D286AC}</x14:id>
        </ext>
      </extLst>
    </cfRule>
  </conditionalFormatting>
  <conditionalFormatting sqref="D156">
    <cfRule type="dataBar" priority="566">
      <dataBar>
        <cfvo type="num" val="0"/>
        <cfvo type="num" val="1"/>
        <color theme="0" tint="-0.249977111117893"/>
      </dataBar>
      <extLst>
        <ext xmlns:x14="http://schemas.microsoft.com/office/spreadsheetml/2009/9/main" uri="{B025F937-C7B1-47D3-B67F-A62EFF666E3E}">
          <x14:id>{ED1926CC-1532-4A84-B0BA-2DB0D4E0095C}</x14:id>
        </ext>
      </extLst>
    </cfRule>
  </conditionalFormatting>
  <conditionalFormatting sqref="D101">
    <cfRule type="dataBar" priority="666">
      <dataBar>
        <cfvo type="num" val="0"/>
        <cfvo type="num" val="1"/>
        <color theme="0" tint="-0.249977111117893"/>
      </dataBar>
      <extLst>
        <ext xmlns:x14="http://schemas.microsoft.com/office/spreadsheetml/2009/9/main" uri="{B025F937-C7B1-47D3-B67F-A62EFF666E3E}">
          <x14:id>{25A56586-746B-469B-B079-FDB21545F88B}</x14:id>
        </ext>
      </extLst>
    </cfRule>
  </conditionalFormatting>
  <conditionalFormatting sqref="D97">
    <cfRule type="dataBar" priority="658">
      <dataBar>
        <cfvo type="num" val="0"/>
        <cfvo type="num" val="1"/>
        <color theme="0" tint="-0.249977111117893"/>
      </dataBar>
      <extLst>
        <ext xmlns:x14="http://schemas.microsoft.com/office/spreadsheetml/2009/9/main" uri="{B025F937-C7B1-47D3-B67F-A62EFF666E3E}">
          <x14:id>{430D9F49-F71B-4692-9DA5-BAFBF57C4292}</x14:id>
        </ext>
      </extLst>
    </cfRule>
  </conditionalFormatting>
  <conditionalFormatting sqref="D99:D100">
    <cfRule type="dataBar" priority="650">
      <dataBar>
        <cfvo type="num" val="0"/>
        <cfvo type="num" val="1"/>
        <color theme="0" tint="-0.249977111117893"/>
      </dataBar>
      <extLst>
        <ext xmlns:x14="http://schemas.microsoft.com/office/spreadsheetml/2009/9/main" uri="{B025F937-C7B1-47D3-B67F-A62EFF666E3E}">
          <x14:id>{13583A4A-3C87-445E-B0DA-650A323AE129}</x14:id>
        </ext>
      </extLst>
    </cfRule>
  </conditionalFormatting>
  <conditionalFormatting sqref="D77">
    <cfRule type="dataBar" priority="646">
      <dataBar>
        <cfvo type="num" val="0"/>
        <cfvo type="num" val="1"/>
        <color theme="0" tint="-0.249977111117893"/>
      </dataBar>
      <extLst>
        <ext xmlns:x14="http://schemas.microsoft.com/office/spreadsheetml/2009/9/main" uri="{B025F937-C7B1-47D3-B67F-A62EFF666E3E}">
          <x14:id>{F84D6790-6AA4-4F4B-B6FC-6F1E58D8A5D7}</x14:id>
        </ext>
      </extLst>
    </cfRule>
  </conditionalFormatting>
  <conditionalFormatting sqref="D96">
    <cfRule type="dataBar" priority="654">
      <dataBar>
        <cfvo type="num" val="0"/>
        <cfvo type="num" val="1"/>
        <color theme="0" tint="-0.249977111117893"/>
      </dataBar>
      <extLst>
        <ext xmlns:x14="http://schemas.microsoft.com/office/spreadsheetml/2009/9/main" uri="{B025F937-C7B1-47D3-B67F-A62EFF666E3E}">
          <x14:id>{4495B782-7793-4166-A157-1C4D4F251B22}</x14:id>
        </ext>
      </extLst>
    </cfRule>
  </conditionalFormatting>
  <conditionalFormatting sqref="D124">
    <cfRule type="dataBar" priority="630">
      <dataBar>
        <cfvo type="num" val="0"/>
        <cfvo type="num" val="1"/>
        <color theme="0" tint="-0.249977111117893"/>
      </dataBar>
      <extLst>
        <ext xmlns:x14="http://schemas.microsoft.com/office/spreadsheetml/2009/9/main" uri="{B025F937-C7B1-47D3-B67F-A62EFF666E3E}">
          <x14:id>{1D18E9AF-9A26-427E-A30C-FB1108421F07}</x14:id>
        </ext>
      </extLst>
    </cfRule>
  </conditionalFormatting>
  <conditionalFormatting sqref="D123">
    <cfRule type="dataBar" priority="634">
      <dataBar>
        <cfvo type="num" val="0"/>
        <cfvo type="num" val="1"/>
        <color theme="0" tint="-0.249977111117893"/>
      </dataBar>
      <extLst>
        <ext xmlns:x14="http://schemas.microsoft.com/office/spreadsheetml/2009/9/main" uri="{B025F937-C7B1-47D3-B67F-A62EFF666E3E}">
          <x14:id>{12B1EAED-C206-4461-A99B-A244FA769D07}</x14:id>
        </ext>
      </extLst>
    </cfRule>
  </conditionalFormatting>
  <conditionalFormatting sqref="D91">
    <cfRule type="dataBar" priority="642">
      <dataBar>
        <cfvo type="num" val="0"/>
        <cfvo type="num" val="1"/>
        <color theme="0" tint="-0.249977111117893"/>
      </dataBar>
      <extLst>
        <ext xmlns:x14="http://schemas.microsoft.com/office/spreadsheetml/2009/9/main" uri="{B025F937-C7B1-47D3-B67F-A62EFF666E3E}">
          <x14:id>{022E271F-BCDD-4C05-96AC-9E3E50BE552E}</x14:id>
        </ext>
      </extLst>
    </cfRule>
  </conditionalFormatting>
  <conditionalFormatting sqref="D143:D144">
    <cfRule type="dataBar" priority="582">
      <dataBar>
        <cfvo type="num" val="0"/>
        <cfvo type="num" val="1"/>
        <color theme="0" tint="-0.249977111117893"/>
      </dataBar>
      <extLst>
        <ext xmlns:x14="http://schemas.microsoft.com/office/spreadsheetml/2009/9/main" uri="{B025F937-C7B1-47D3-B67F-A62EFF666E3E}">
          <x14:id>{6C2DFB18-B26F-48C3-B1D3-4208C9E5C4C7}</x14:id>
        </ext>
      </extLst>
    </cfRule>
  </conditionalFormatting>
  <conditionalFormatting sqref="D115">
    <cfRule type="dataBar" priority="638">
      <dataBar>
        <cfvo type="num" val="0"/>
        <cfvo type="num" val="1"/>
        <color theme="0" tint="-0.249977111117893"/>
      </dataBar>
      <extLst>
        <ext xmlns:x14="http://schemas.microsoft.com/office/spreadsheetml/2009/9/main" uri="{B025F937-C7B1-47D3-B67F-A62EFF666E3E}">
          <x14:id>{22AB1E59-64A8-4AA5-B337-4436EEE42732}</x14:id>
        </ext>
      </extLst>
    </cfRule>
  </conditionalFormatting>
  <conditionalFormatting sqref="D125">
    <cfRule type="dataBar" priority="626">
      <dataBar>
        <cfvo type="num" val="0"/>
        <cfvo type="num" val="1"/>
        <color theme="0" tint="-0.249977111117893"/>
      </dataBar>
      <extLst>
        <ext xmlns:x14="http://schemas.microsoft.com/office/spreadsheetml/2009/9/main" uri="{B025F937-C7B1-47D3-B67F-A62EFF666E3E}">
          <x14:id>{90D054A9-18CF-4621-9D0C-83E62BA0388C}</x14:id>
        </ext>
      </extLst>
    </cfRule>
  </conditionalFormatting>
  <conditionalFormatting sqref="D141">
    <cfRule type="dataBar" priority="606">
      <dataBar>
        <cfvo type="num" val="0"/>
        <cfvo type="num" val="1"/>
        <color theme="0" tint="-0.249977111117893"/>
      </dataBar>
      <extLst>
        <ext xmlns:x14="http://schemas.microsoft.com/office/spreadsheetml/2009/9/main" uri="{B025F937-C7B1-47D3-B67F-A62EFF666E3E}">
          <x14:id>{E6E69CB6-73DF-4087-BCD9-19CFA3338DE1}</x14:id>
        </ext>
      </extLst>
    </cfRule>
  </conditionalFormatting>
  <conditionalFormatting sqref="D162">
    <cfRule type="dataBar" priority="538">
      <dataBar>
        <cfvo type="num" val="0"/>
        <cfvo type="num" val="1"/>
        <color theme="0" tint="-0.249977111117893"/>
      </dataBar>
      <extLst>
        <ext xmlns:x14="http://schemas.microsoft.com/office/spreadsheetml/2009/9/main" uri="{B025F937-C7B1-47D3-B67F-A62EFF666E3E}">
          <x14:id>{79E1256F-9F72-44E5-B7CC-2F42788A1CC9}</x14:id>
        </ext>
      </extLst>
    </cfRule>
  </conditionalFormatting>
  <conditionalFormatting sqref="D161">
    <cfRule type="dataBar" priority="542">
      <dataBar>
        <cfvo type="num" val="0"/>
        <cfvo type="num" val="1"/>
        <color theme="0" tint="-0.249977111117893"/>
      </dataBar>
      <extLst>
        <ext xmlns:x14="http://schemas.microsoft.com/office/spreadsheetml/2009/9/main" uri="{B025F937-C7B1-47D3-B67F-A62EFF666E3E}">
          <x14:id>{49E5FAE2-62F5-4095-AA13-BBF750A3F22B}</x14:id>
        </ext>
      </extLst>
    </cfRule>
  </conditionalFormatting>
  <conditionalFormatting sqref="D163">
    <cfRule type="dataBar" priority="550">
      <dataBar>
        <cfvo type="num" val="0"/>
        <cfvo type="num" val="1"/>
        <color theme="0" tint="-0.249977111117893"/>
      </dataBar>
      <extLst>
        <ext xmlns:x14="http://schemas.microsoft.com/office/spreadsheetml/2009/9/main" uri="{B025F937-C7B1-47D3-B67F-A62EFF666E3E}">
          <x14:id>{47347AE2-A096-43E1-AFEE-6F10DCAA755F}</x14:id>
        </ext>
      </extLst>
    </cfRule>
  </conditionalFormatting>
  <conditionalFormatting sqref="D140">
    <cfRule type="dataBar" priority="602">
      <dataBar>
        <cfvo type="num" val="0"/>
        <cfvo type="num" val="1"/>
        <color theme="0" tint="-0.249977111117893"/>
      </dataBar>
      <extLst>
        <ext xmlns:x14="http://schemas.microsoft.com/office/spreadsheetml/2009/9/main" uri="{B025F937-C7B1-47D3-B67F-A62EFF666E3E}">
          <x14:id>{9C62CD90-9178-456B-A6D8-F647C90A704E}</x14:id>
        </ext>
      </extLst>
    </cfRule>
  </conditionalFormatting>
  <conditionalFormatting sqref="D142">
    <cfRule type="dataBar" priority="594">
      <dataBar>
        <cfvo type="num" val="0"/>
        <cfvo type="num" val="1"/>
        <color theme="0" tint="-0.249977111117893"/>
      </dataBar>
      <extLst>
        <ext xmlns:x14="http://schemas.microsoft.com/office/spreadsheetml/2009/9/main" uri="{B025F937-C7B1-47D3-B67F-A62EFF666E3E}">
          <x14:id>{02EE9B88-C1AB-49F0-BA87-D17A27B13B6C}</x14:id>
        </ext>
      </extLst>
    </cfRule>
  </conditionalFormatting>
  <conditionalFormatting sqref="D159">
    <cfRule type="dataBar" priority="534">
      <dataBar>
        <cfvo type="num" val="0"/>
        <cfvo type="num" val="1"/>
        <color theme="0" tint="-0.249977111117893"/>
      </dataBar>
      <extLst>
        <ext xmlns:x14="http://schemas.microsoft.com/office/spreadsheetml/2009/9/main" uri="{B025F937-C7B1-47D3-B67F-A62EFF666E3E}">
          <x14:id>{CF08DC9B-3472-457B-BE6B-929AFE6C7CAE}</x14:id>
        </ext>
      </extLst>
    </cfRule>
  </conditionalFormatting>
  <conditionalFormatting sqref="D145">
    <cfRule type="dataBar" priority="578">
      <dataBar>
        <cfvo type="num" val="0"/>
        <cfvo type="num" val="1"/>
        <color theme="0" tint="-0.249977111117893"/>
      </dataBar>
      <extLst>
        <ext xmlns:x14="http://schemas.microsoft.com/office/spreadsheetml/2009/9/main" uri="{B025F937-C7B1-47D3-B67F-A62EFF666E3E}">
          <x14:id>{58C2B338-3A61-4B59-9959-4580736ADC90}</x14:id>
        </ext>
      </extLst>
    </cfRule>
  </conditionalFormatting>
  <conditionalFormatting sqref="D157">
    <cfRule type="dataBar" priority="526">
      <dataBar>
        <cfvo type="num" val="0"/>
        <cfvo type="num" val="1"/>
        <color theme="0" tint="-0.249977111117893"/>
      </dataBar>
      <extLst>
        <ext xmlns:x14="http://schemas.microsoft.com/office/spreadsheetml/2009/9/main" uri="{B025F937-C7B1-47D3-B67F-A62EFF666E3E}">
          <x14:id>{D8EC6786-34B2-4385-8A05-12A2D7F7263B}</x14:id>
        </ext>
      </extLst>
    </cfRule>
  </conditionalFormatting>
  <conditionalFormatting sqref="D148">
    <cfRule type="dataBar" priority="574">
      <dataBar>
        <cfvo type="num" val="0"/>
        <cfvo type="num" val="1"/>
        <color theme="0" tint="-0.249977111117893"/>
      </dataBar>
      <extLst>
        <ext xmlns:x14="http://schemas.microsoft.com/office/spreadsheetml/2009/9/main" uri="{B025F937-C7B1-47D3-B67F-A62EFF666E3E}">
          <x14:id>{8D04DBA8-D162-4B6F-9070-FF6297F6861E}</x14:id>
        </ext>
      </extLst>
    </cfRule>
  </conditionalFormatting>
  <conditionalFormatting sqref="D166 D177">
    <cfRule type="dataBar" priority="518">
      <dataBar>
        <cfvo type="num" val="0"/>
        <cfvo type="num" val="1"/>
        <color theme="0" tint="-0.249977111117893"/>
      </dataBar>
      <extLst>
        <ext xmlns:x14="http://schemas.microsoft.com/office/spreadsheetml/2009/9/main" uri="{B025F937-C7B1-47D3-B67F-A62EFF666E3E}">
          <x14:id>{14B6EC1F-D2E8-4489-846A-2295E4F8135C}</x14:id>
        </ext>
      </extLst>
    </cfRule>
  </conditionalFormatting>
  <conditionalFormatting sqref="D164">
    <cfRule type="dataBar" priority="546">
      <dataBar>
        <cfvo type="num" val="0"/>
        <cfvo type="num" val="1"/>
        <color theme="0" tint="-0.249977111117893"/>
      </dataBar>
      <extLst>
        <ext xmlns:x14="http://schemas.microsoft.com/office/spreadsheetml/2009/9/main" uri="{B025F937-C7B1-47D3-B67F-A62EFF666E3E}">
          <x14:id>{6590B45E-F355-4AE1-9D96-7BCA4A5690A8}</x14:id>
        </ext>
      </extLst>
    </cfRule>
  </conditionalFormatting>
  <conditionalFormatting sqref="D173">
    <cfRule type="dataBar" priority="502">
      <dataBar>
        <cfvo type="num" val="0"/>
        <cfvo type="num" val="1"/>
        <color theme="0" tint="-0.249977111117893"/>
      </dataBar>
      <extLst>
        <ext xmlns:x14="http://schemas.microsoft.com/office/spreadsheetml/2009/9/main" uri="{B025F937-C7B1-47D3-B67F-A62EFF666E3E}">
          <x14:id>{D192A3D7-3568-4FE9-8F98-6726723F1E12}</x14:id>
        </ext>
      </extLst>
    </cfRule>
  </conditionalFormatting>
  <conditionalFormatting sqref="D158">
    <cfRule type="dataBar" priority="522">
      <dataBar>
        <cfvo type="num" val="0"/>
        <cfvo type="num" val="1"/>
        <color theme="0" tint="-0.249977111117893"/>
      </dataBar>
      <extLst>
        <ext xmlns:x14="http://schemas.microsoft.com/office/spreadsheetml/2009/9/main" uri="{B025F937-C7B1-47D3-B67F-A62EFF666E3E}">
          <x14:id>{4B39CBE3-0B94-409F-8DD5-8A29DC5F1BF6}</x14:id>
        </ext>
      </extLst>
    </cfRule>
  </conditionalFormatting>
  <conditionalFormatting sqref="D175">
    <cfRule type="dataBar" priority="510">
      <dataBar>
        <cfvo type="num" val="0"/>
        <cfvo type="num" val="1"/>
        <color theme="0" tint="-0.249977111117893"/>
      </dataBar>
      <extLst>
        <ext xmlns:x14="http://schemas.microsoft.com/office/spreadsheetml/2009/9/main" uri="{B025F937-C7B1-47D3-B67F-A62EFF666E3E}">
          <x14:id>{C6D6B27B-6120-4C1E-B2D6-68F83B4F720F}</x14:id>
        </ext>
      </extLst>
    </cfRule>
  </conditionalFormatting>
  <conditionalFormatting sqref="D174">
    <cfRule type="dataBar" priority="498">
      <dataBar>
        <cfvo type="num" val="0"/>
        <cfvo type="num" val="1"/>
        <color theme="0" tint="-0.249977111117893"/>
      </dataBar>
      <extLst>
        <ext xmlns:x14="http://schemas.microsoft.com/office/spreadsheetml/2009/9/main" uri="{B025F937-C7B1-47D3-B67F-A62EFF666E3E}">
          <x14:id>{B0DD9FF5-10C0-4A51-906D-3ACD7439CF2A}</x14:id>
        </ext>
      </extLst>
    </cfRule>
  </conditionalFormatting>
  <conditionalFormatting sqref="D160">
    <cfRule type="dataBar" priority="530">
      <dataBar>
        <cfvo type="num" val="0"/>
        <cfvo type="num" val="1"/>
        <color theme="0" tint="-0.249977111117893"/>
      </dataBar>
      <extLst>
        <ext xmlns:x14="http://schemas.microsoft.com/office/spreadsheetml/2009/9/main" uri="{B025F937-C7B1-47D3-B67F-A62EFF666E3E}">
          <x14:id>{D5316034-D023-4E6A-9D47-0EE3B54FB7EA}</x14:id>
        </ext>
      </extLst>
    </cfRule>
  </conditionalFormatting>
  <conditionalFormatting sqref="D169">
    <cfRule type="dataBar" priority="486">
      <dataBar>
        <cfvo type="num" val="0"/>
        <cfvo type="num" val="1"/>
        <color theme="0" tint="-0.249977111117893"/>
      </dataBar>
      <extLst>
        <ext xmlns:x14="http://schemas.microsoft.com/office/spreadsheetml/2009/9/main" uri="{B025F937-C7B1-47D3-B67F-A62EFF666E3E}">
          <x14:id>{8E1E4764-CCF7-4231-BD9D-3C99BD055E4E}</x14:id>
        </ext>
      </extLst>
    </cfRule>
  </conditionalFormatting>
  <conditionalFormatting sqref="D172">
    <cfRule type="dataBar" priority="490">
      <dataBar>
        <cfvo type="num" val="0"/>
        <cfvo type="num" val="1"/>
        <color theme="0" tint="-0.249977111117893"/>
      </dataBar>
      <extLst>
        <ext xmlns:x14="http://schemas.microsoft.com/office/spreadsheetml/2009/9/main" uri="{B025F937-C7B1-47D3-B67F-A62EFF666E3E}">
          <x14:id>{C428B1DA-89E2-45CC-89E5-E32E01E4BC24}</x14:id>
        </ext>
      </extLst>
    </cfRule>
  </conditionalFormatting>
  <conditionalFormatting sqref="D176">
    <cfRule type="dataBar" priority="506">
      <dataBar>
        <cfvo type="num" val="0"/>
        <cfvo type="num" val="1"/>
        <color theme="0" tint="-0.249977111117893"/>
      </dataBar>
      <extLst>
        <ext xmlns:x14="http://schemas.microsoft.com/office/spreadsheetml/2009/9/main" uri="{B025F937-C7B1-47D3-B67F-A62EFF666E3E}">
          <x14:id>{E213BCC4-B2B1-49F4-AF08-920EDA6757A1}</x14:id>
        </ext>
      </extLst>
    </cfRule>
  </conditionalFormatting>
  <conditionalFormatting sqref="D168">
    <cfRule type="dataBar" priority="474">
      <dataBar>
        <cfvo type="num" val="0"/>
        <cfvo type="num" val="1"/>
        <color theme="0" tint="-0.249977111117893"/>
      </dataBar>
      <extLst>
        <ext xmlns:x14="http://schemas.microsoft.com/office/spreadsheetml/2009/9/main" uri="{B025F937-C7B1-47D3-B67F-A62EFF666E3E}">
          <x14:id>{B077500C-1E3F-43CA-A284-496A01709B4F}</x14:id>
        </ext>
      </extLst>
    </cfRule>
  </conditionalFormatting>
  <conditionalFormatting sqref="D171">
    <cfRule type="dataBar" priority="494">
      <dataBar>
        <cfvo type="num" val="0"/>
        <cfvo type="num" val="1"/>
        <color theme="0" tint="-0.249977111117893"/>
      </dataBar>
      <extLst>
        <ext xmlns:x14="http://schemas.microsoft.com/office/spreadsheetml/2009/9/main" uri="{B025F937-C7B1-47D3-B67F-A62EFF666E3E}">
          <x14:id>{6D347134-7566-4599-9E72-E272B16FBD1A}</x14:id>
        </ext>
      </extLst>
    </cfRule>
  </conditionalFormatting>
  <conditionalFormatting sqref="D180:D181">
    <cfRule type="dataBar" priority="426">
      <dataBar>
        <cfvo type="num" val="0"/>
        <cfvo type="num" val="1"/>
        <color theme="0" tint="-0.249977111117893"/>
      </dataBar>
      <extLst>
        <ext xmlns:x14="http://schemas.microsoft.com/office/spreadsheetml/2009/9/main" uri="{B025F937-C7B1-47D3-B67F-A62EFF666E3E}">
          <x14:id>{8F100124-C0C8-4F18-B26F-83DC33317AB8}</x14:id>
        </ext>
      </extLst>
    </cfRule>
  </conditionalFormatting>
  <conditionalFormatting sqref="D167">
    <cfRule type="dataBar" priority="478">
      <dataBar>
        <cfvo type="num" val="0"/>
        <cfvo type="num" val="1"/>
        <color theme="0" tint="-0.249977111117893"/>
      </dataBar>
      <extLst>
        <ext xmlns:x14="http://schemas.microsoft.com/office/spreadsheetml/2009/9/main" uri="{B025F937-C7B1-47D3-B67F-A62EFF666E3E}">
          <x14:id>{E6884465-FD04-451D-8B65-BAD493C1A535}</x14:id>
        </ext>
      </extLst>
    </cfRule>
  </conditionalFormatting>
  <conditionalFormatting sqref="D178">
    <cfRule type="dataBar" priority="470">
      <dataBar>
        <cfvo type="num" val="0"/>
        <cfvo type="num" val="1"/>
        <color theme="0" tint="-0.249977111117893"/>
      </dataBar>
      <extLst>
        <ext xmlns:x14="http://schemas.microsoft.com/office/spreadsheetml/2009/9/main" uri="{B025F937-C7B1-47D3-B67F-A62EFF666E3E}">
          <x14:id>{03BCC3B7-9350-4CAD-936D-E4EAEFC08F8F}</x14:id>
        </ext>
      </extLst>
    </cfRule>
  </conditionalFormatting>
  <conditionalFormatting sqref="D188">
    <cfRule type="dataBar" priority="462">
      <dataBar>
        <cfvo type="num" val="0"/>
        <cfvo type="num" val="1"/>
        <color theme="0" tint="-0.249977111117893"/>
      </dataBar>
      <extLst>
        <ext xmlns:x14="http://schemas.microsoft.com/office/spreadsheetml/2009/9/main" uri="{B025F937-C7B1-47D3-B67F-A62EFF666E3E}">
          <x14:id>{6E0CD146-3F8F-4BCE-A593-2716F8629A7B}</x14:id>
        </ext>
      </extLst>
    </cfRule>
  </conditionalFormatting>
  <conditionalFormatting sqref="D155">
    <cfRule type="dataBar" priority="414">
      <dataBar>
        <cfvo type="num" val="0"/>
        <cfvo type="num" val="1"/>
        <color theme="0" tint="-0.249977111117893"/>
      </dataBar>
      <extLst>
        <ext xmlns:x14="http://schemas.microsoft.com/office/spreadsheetml/2009/9/main" uri="{B025F937-C7B1-47D3-B67F-A62EFF666E3E}">
          <x14:id>{979545AD-9CEE-426E-BA96-D71CA53B09C9}</x14:id>
        </ext>
      </extLst>
    </cfRule>
  </conditionalFormatting>
  <conditionalFormatting sqref="D182">
    <cfRule type="dataBar" priority="438">
      <dataBar>
        <cfvo type="num" val="0"/>
        <cfvo type="num" val="1"/>
        <color theme="0" tint="-0.249977111117893"/>
      </dataBar>
      <extLst>
        <ext xmlns:x14="http://schemas.microsoft.com/office/spreadsheetml/2009/9/main" uri="{B025F937-C7B1-47D3-B67F-A62EFF666E3E}">
          <x14:id>{1A609187-7DAF-4E96-B23B-4B66640E0010}</x14:id>
        </ext>
      </extLst>
    </cfRule>
  </conditionalFormatting>
  <conditionalFormatting sqref="D170">
    <cfRule type="dataBar" priority="482">
      <dataBar>
        <cfvo type="num" val="0"/>
        <cfvo type="num" val="1"/>
        <color theme="0" tint="-0.249977111117893"/>
      </dataBar>
      <extLst>
        <ext xmlns:x14="http://schemas.microsoft.com/office/spreadsheetml/2009/9/main" uri="{B025F937-C7B1-47D3-B67F-A62EFF666E3E}">
          <x14:id>{BE1E21CD-65DC-4A80-A029-4F4C569534DF}</x14:id>
        </ext>
      </extLst>
    </cfRule>
  </conditionalFormatting>
  <conditionalFormatting sqref="D179">
    <cfRule type="dataBar" priority="430">
      <dataBar>
        <cfvo type="num" val="0"/>
        <cfvo type="num" val="1"/>
        <color theme="0" tint="-0.249977111117893"/>
      </dataBar>
      <extLst>
        <ext xmlns:x14="http://schemas.microsoft.com/office/spreadsheetml/2009/9/main" uri="{B025F937-C7B1-47D3-B67F-A62EFF666E3E}">
          <x14:id>{9E421326-CB58-4783-BB70-5AAAB871D2CC}</x14:id>
        </ext>
      </extLst>
    </cfRule>
  </conditionalFormatting>
  <conditionalFormatting sqref="D153:D154">
    <cfRule type="dataBar" priority="410">
      <dataBar>
        <cfvo type="num" val="0"/>
        <cfvo type="num" val="1"/>
        <color theme="0" tint="-0.249977111117893"/>
      </dataBar>
      <extLst>
        <ext xmlns:x14="http://schemas.microsoft.com/office/spreadsheetml/2009/9/main" uri="{B025F937-C7B1-47D3-B67F-A62EFF666E3E}">
          <x14:id>{0386C8CA-A5B8-46BC-8B6A-8FAD1E7722EE}</x14:id>
        </ext>
      </extLst>
    </cfRule>
  </conditionalFormatting>
  <conditionalFormatting sqref="D183">
    <cfRule type="dataBar" priority="434">
      <dataBar>
        <cfvo type="num" val="0"/>
        <cfvo type="num" val="1"/>
        <color theme="0" tint="-0.249977111117893"/>
      </dataBar>
      <extLst>
        <ext xmlns:x14="http://schemas.microsoft.com/office/spreadsheetml/2009/9/main" uri="{B025F937-C7B1-47D3-B67F-A62EFF666E3E}">
          <x14:id>{E718E544-EBB6-4ADA-B279-2E7056E84988}</x14:id>
        </ext>
      </extLst>
    </cfRule>
  </conditionalFormatting>
  <conditionalFormatting sqref="D186">
    <cfRule type="dataBar" priority="454">
      <dataBar>
        <cfvo type="num" val="0"/>
        <cfvo type="num" val="1"/>
        <color theme="0" tint="-0.249977111117893"/>
      </dataBar>
      <extLst>
        <ext xmlns:x14="http://schemas.microsoft.com/office/spreadsheetml/2009/9/main" uri="{B025F937-C7B1-47D3-B67F-A62EFF666E3E}">
          <x14:id>{AC75545B-4392-4858-97CD-39C257CF8529}</x14:id>
        </ext>
      </extLst>
    </cfRule>
  </conditionalFormatting>
  <conditionalFormatting sqref="D187">
    <cfRule type="dataBar" priority="450">
      <dataBar>
        <cfvo type="num" val="0"/>
        <cfvo type="num" val="1"/>
        <color theme="0" tint="-0.249977111117893"/>
      </dataBar>
      <extLst>
        <ext xmlns:x14="http://schemas.microsoft.com/office/spreadsheetml/2009/9/main" uri="{B025F937-C7B1-47D3-B67F-A62EFF666E3E}">
          <x14:id>{89FAB5E0-2108-4429-ADE9-277BED097EF8}</x14:id>
        </ext>
      </extLst>
    </cfRule>
  </conditionalFormatting>
  <conditionalFormatting sqref="D149:D150">
    <cfRule type="dataBar" priority="422">
      <dataBar>
        <cfvo type="num" val="0"/>
        <cfvo type="num" val="1"/>
        <color theme="0" tint="-0.249977111117893"/>
      </dataBar>
      <extLst>
        <ext xmlns:x14="http://schemas.microsoft.com/office/spreadsheetml/2009/9/main" uri="{B025F937-C7B1-47D3-B67F-A62EFF666E3E}">
          <x14:id>{32FEB325-6C15-47CC-B00F-90498600BF14}</x14:id>
        </ext>
      </extLst>
    </cfRule>
  </conditionalFormatting>
  <conditionalFormatting sqref="D146:D147">
    <cfRule type="dataBar" priority="406">
      <dataBar>
        <cfvo type="num" val="0"/>
        <cfvo type="num" val="1"/>
        <color theme="0" tint="-0.249977111117893"/>
      </dataBar>
      <extLst>
        <ext xmlns:x14="http://schemas.microsoft.com/office/spreadsheetml/2009/9/main" uri="{B025F937-C7B1-47D3-B67F-A62EFF666E3E}">
          <x14:id>{5F71FA3D-712B-4434-B38D-C1B19E2D7B38}</x14:id>
        </ext>
      </extLst>
    </cfRule>
  </conditionalFormatting>
  <conditionalFormatting sqref="D184">
    <cfRule type="dataBar" priority="446">
      <dataBar>
        <cfvo type="num" val="0"/>
        <cfvo type="num" val="1"/>
        <color theme="0" tint="-0.249977111117893"/>
      </dataBar>
      <extLst>
        <ext xmlns:x14="http://schemas.microsoft.com/office/spreadsheetml/2009/9/main" uri="{B025F937-C7B1-47D3-B67F-A62EFF666E3E}">
          <x14:id>{8061F629-BF41-4E84-9EB6-B59EDFFC851E}</x14:id>
        </ext>
      </extLst>
    </cfRule>
  </conditionalFormatting>
  <conditionalFormatting sqref="D131">
    <cfRule type="dataBar" priority="398">
      <dataBar>
        <cfvo type="num" val="0"/>
        <cfvo type="num" val="1"/>
        <color theme="0" tint="-0.249977111117893"/>
      </dataBar>
      <extLst>
        <ext xmlns:x14="http://schemas.microsoft.com/office/spreadsheetml/2009/9/main" uri="{B025F937-C7B1-47D3-B67F-A62EFF666E3E}">
          <x14:id>{9FEABB9B-FBF0-46EF-96D8-6143537CBC4F}</x14:id>
        </ext>
      </extLst>
    </cfRule>
  </conditionalFormatting>
  <conditionalFormatting sqref="D189">
    <cfRule type="dataBar" priority="458">
      <dataBar>
        <cfvo type="num" val="0"/>
        <cfvo type="num" val="1"/>
        <color theme="0" tint="-0.249977111117893"/>
      </dataBar>
      <extLst>
        <ext xmlns:x14="http://schemas.microsoft.com/office/spreadsheetml/2009/9/main" uri="{B025F937-C7B1-47D3-B67F-A62EFF666E3E}">
          <x14:id>{B6CBB774-4123-49F2-A9A5-922EAC0AF218}</x14:id>
        </ext>
      </extLst>
    </cfRule>
  </conditionalFormatting>
  <conditionalFormatting sqref="D185">
    <cfRule type="dataBar" priority="442">
      <dataBar>
        <cfvo type="num" val="0"/>
        <cfvo type="num" val="1"/>
        <color theme="0" tint="-0.249977111117893"/>
      </dataBar>
      <extLst>
        <ext xmlns:x14="http://schemas.microsoft.com/office/spreadsheetml/2009/9/main" uri="{B025F937-C7B1-47D3-B67F-A62EFF666E3E}">
          <x14:id>{040D8C34-3DED-4B61-A72E-A5E17A0CFBFB}</x14:id>
        </ext>
      </extLst>
    </cfRule>
  </conditionalFormatting>
  <conditionalFormatting sqref="D266">
    <cfRule type="dataBar" priority="358">
      <dataBar>
        <cfvo type="num" val="0"/>
        <cfvo type="num" val="1"/>
        <color theme="0" tint="-0.249977111117893"/>
      </dataBar>
      <extLst>
        <ext xmlns:x14="http://schemas.microsoft.com/office/spreadsheetml/2009/9/main" uri="{B025F937-C7B1-47D3-B67F-A62EFF666E3E}">
          <x14:id>{1B7A0EAE-B56E-4D8D-95EF-ABDF945C9A81}</x14:id>
        </ext>
      </extLst>
    </cfRule>
  </conditionalFormatting>
  <conditionalFormatting sqref="D152">
    <cfRule type="dataBar" priority="418">
      <dataBar>
        <cfvo type="num" val="0"/>
        <cfvo type="num" val="1"/>
        <color theme="0" tint="-0.249977111117893"/>
      </dataBar>
      <extLst>
        <ext xmlns:x14="http://schemas.microsoft.com/office/spreadsheetml/2009/9/main" uri="{B025F937-C7B1-47D3-B67F-A62EFF666E3E}">
          <x14:id>{9731B36A-B970-44EB-8B6C-47F03A127823}</x14:id>
        </ext>
      </extLst>
    </cfRule>
  </conditionalFormatting>
  <conditionalFormatting sqref="D151">
    <cfRule type="dataBar" priority="402">
      <dataBar>
        <cfvo type="num" val="0"/>
        <cfvo type="num" val="1"/>
        <color theme="0" tint="-0.249977111117893"/>
      </dataBar>
      <extLst>
        <ext xmlns:x14="http://schemas.microsoft.com/office/spreadsheetml/2009/9/main" uri="{B025F937-C7B1-47D3-B67F-A62EFF666E3E}">
          <x14:id>{F8480D96-D622-4872-ADD6-2C6732D572AA}</x14:id>
        </ext>
      </extLst>
    </cfRule>
  </conditionalFormatting>
  <conditionalFormatting sqref="D267">
    <cfRule type="dataBar" priority="354">
      <dataBar>
        <cfvo type="num" val="0"/>
        <cfvo type="num" val="1"/>
        <color theme="0" tint="-0.249977111117893"/>
      </dataBar>
      <extLst>
        <ext xmlns:x14="http://schemas.microsoft.com/office/spreadsheetml/2009/9/main" uri="{B025F937-C7B1-47D3-B67F-A62EFF666E3E}">
          <x14:id>{6F23D896-5231-4D58-B33C-A0C3522DDA1B}</x14:id>
        </ext>
      </extLst>
    </cfRule>
  </conditionalFormatting>
  <conditionalFormatting sqref="D165">
    <cfRule type="dataBar" priority="394">
      <dataBar>
        <cfvo type="num" val="0"/>
        <cfvo type="num" val="1"/>
        <color theme="0" tint="-0.249977111117893"/>
      </dataBar>
      <extLst>
        <ext xmlns:x14="http://schemas.microsoft.com/office/spreadsheetml/2009/9/main" uri="{B025F937-C7B1-47D3-B67F-A62EFF666E3E}">
          <x14:id>{D6E9EA06-992C-4891-95B9-A824A248B582}</x14:id>
        </ext>
      </extLst>
    </cfRule>
  </conditionalFormatting>
  <conditionalFormatting sqref="D268">
    <cfRule type="dataBar" priority="350">
      <dataBar>
        <cfvo type="num" val="0"/>
        <cfvo type="num" val="1"/>
        <color theme="0" tint="-0.249977111117893"/>
      </dataBar>
      <extLst>
        <ext xmlns:x14="http://schemas.microsoft.com/office/spreadsheetml/2009/9/main" uri="{B025F937-C7B1-47D3-B67F-A62EFF666E3E}">
          <x14:id>{A7055CDC-EBB6-4AF0-8905-232157B2561D}</x14:id>
        </ext>
      </extLst>
    </cfRule>
  </conditionalFormatting>
  <conditionalFormatting sqref="D210">
    <cfRule type="dataBar" priority="370">
      <dataBar>
        <cfvo type="num" val="0"/>
        <cfvo type="num" val="1"/>
        <color theme="0" tint="-0.249977111117893"/>
      </dataBar>
      <extLst>
        <ext xmlns:x14="http://schemas.microsoft.com/office/spreadsheetml/2009/9/main" uri="{B025F937-C7B1-47D3-B67F-A62EFF666E3E}">
          <x14:id>{6F0BD6AC-AE85-4DFC-B641-BDEBE82E5D3A}</x14:id>
        </ext>
      </extLst>
    </cfRule>
  </conditionalFormatting>
  <conditionalFormatting sqref="D263">
    <cfRule type="dataBar" priority="366">
      <dataBar>
        <cfvo type="num" val="0"/>
        <cfvo type="num" val="1"/>
        <color theme="0" tint="-0.249977111117893"/>
      </dataBar>
      <extLst>
        <ext xmlns:x14="http://schemas.microsoft.com/office/spreadsheetml/2009/9/main" uri="{B025F937-C7B1-47D3-B67F-A62EFF666E3E}">
          <x14:id>{97E9857C-397A-4882-892F-17ECF02AB43A}</x14:id>
        </ext>
      </extLst>
    </cfRule>
  </conditionalFormatting>
  <conditionalFormatting sqref="D264:D265">
    <cfRule type="dataBar" priority="362">
      <dataBar>
        <cfvo type="num" val="0"/>
        <cfvo type="num" val="1"/>
        <color theme="0" tint="-0.249977111117893"/>
      </dataBar>
      <extLst>
        <ext xmlns:x14="http://schemas.microsoft.com/office/spreadsheetml/2009/9/main" uri="{B025F937-C7B1-47D3-B67F-A62EFF666E3E}">
          <x14:id>{D738A770-6B7E-45CA-AF71-EDD854DD9E63}</x14:id>
        </ext>
      </extLst>
    </cfRule>
  </conditionalFormatting>
  <conditionalFormatting sqref="D274">
    <cfRule type="dataBar" priority="338">
      <dataBar>
        <cfvo type="num" val="0"/>
        <cfvo type="num" val="1"/>
        <color theme="0" tint="-0.249977111117893"/>
      </dataBar>
      <extLst>
        <ext xmlns:x14="http://schemas.microsoft.com/office/spreadsheetml/2009/9/main" uri="{B025F937-C7B1-47D3-B67F-A62EFF666E3E}">
          <x14:id>{29D8C703-BC0B-4693-8F79-7254EE6CBB88}</x14:id>
        </ext>
      </extLst>
    </cfRule>
  </conditionalFormatting>
  <conditionalFormatting sqref="D206">
    <cfRule type="dataBar" priority="318">
      <dataBar>
        <cfvo type="num" val="0"/>
        <cfvo type="num" val="1"/>
        <color theme="0" tint="-0.249977111117893"/>
      </dataBar>
      <extLst>
        <ext xmlns:x14="http://schemas.microsoft.com/office/spreadsheetml/2009/9/main" uri="{B025F937-C7B1-47D3-B67F-A62EFF666E3E}">
          <x14:id>{D237BB9E-B6B5-4C73-8C86-4A948A8DE3C8}</x14:id>
        </ext>
      </extLst>
    </cfRule>
  </conditionalFormatting>
  <conditionalFormatting sqref="D190">
    <cfRule type="dataBar" priority="378">
      <dataBar>
        <cfvo type="num" val="0"/>
        <cfvo type="num" val="1"/>
        <color theme="0" tint="-0.249977111117893"/>
      </dataBar>
      <extLst>
        <ext xmlns:x14="http://schemas.microsoft.com/office/spreadsheetml/2009/9/main" uri="{B025F937-C7B1-47D3-B67F-A62EFF666E3E}">
          <x14:id>{31EA3830-7032-4209-B0E4-167481325F37}</x14:id>
        </ext>
      </extLst>
    </cfRule>
  </conditionalFormatting>
  <conditionalFormatting sqref="D209">
    <cfRule type="dataBar" priority="374">
      <dataBar>
        <cfvo type="num" val="0"/>
        <cfvo type="num" val="1"/>
        <color theme="0" tint="-0.249977111117893"/>
      </dataBar>
      <extLst>
        <ext xmlns:x14="http://schemas.microsoft.com/office/spreadsheetml/2009/9/main" uri="{B025F937-C7B1-47D3-B67F-A62EFF666E3E}">
          <x14:id>{DD42BA0D-0E47-49DB-A48A-DF505AE32433}</x14:id>
        </ext>
      </extLst>
    </cfRule>
  </conditionalFormatting>
  <conditionalFormatting sqref="D207">
    <cfRule type="dataBar" priority="330">
      <dataBar>
        <cfvo type="num" val="0"/>
        <cfvo type="num" val="1"/>
        <color theme="0" tint="-0.249977111117893"/>
      </dataBar>
      <extLst>
        <ext xmlns:x14="http://schemas.microsoft.com/office/spreadsheetml/2009/9/main" uri="{B025F937-C7B1-47D3-B67F-A62EFF666E3E}">
          <x14:id>{CAB2F76A-1302-48DE-B48B-64A094F1BCFA}</x14:id>
        </ext>
      </extLst>
    </cfRule>
  </conditionalFormatting>
  <conditionalFormatting sqref="D273">
    <cfRule type="dataBar" priority="342">
      <dataBar>
        <cfvo type="num" val="0"/>
        <cfvo type="num" val="1"/>
        <color theme="0" tint="-0.249977111117893"/>
      </dataBar>
      <extLst>
        <ext xmlns:x14="http://schemas.microsoft.com/office/spreadsheetml/2009/9/main" uri="{B025F937-C7B1-47D3-B67F-A62EFF666E3E}">
          <x14:id>{137EE670-672E-4A60-9C75-EFA8BB1ED020}</x14:id>
        </ext>
      </extLst>
    </cfRule>
  </conditionalFormatting>
  <conditionalFormatting sqref="D269">
    <cfRule type="dataBar" priority="346">
      <dataBar>
        <cfvo type="num" val="0"/>
        <cfvo type="num" val="1"/>
        <color theme="0" tint="-0.249977111117893"/>
      </dataBar>
      <extLst>
        <ext xmlns:x14="http://schemas.microsoft.com/office/spreadsheetml/2009/9/main" uri="{B025F937-C7B1-47D3-B67F-A62EFF666E3E}">
          <x14:id>{635A53CA-BE6E-41C5-A9EC-6501A46A2F76}</x14:id>
        </ext>
      </extLst>
    </cfRule>
  </conditionalFormatting>
  <conditionalFormatting sqref="D205">
    <cfRule type="dataBar" priority="322">
      <dataBar>
        <cfvo type="num" val="0"/>
        <cfvo type="num" val="1"/>
        <color theme="0" tint="-0.249977111117893"/>
      </dataBar>
      <extLst>
        <ext xmlns:x14="http://schemas.microsoft.com/office/spreadsheetml/2009/9/main" uri="{B025F937-C7B1-47D3-B67F-A62EFF666E3E}">
          <x14:id>{A93069EE-1EDA-4F7C-A616-396CEDCDD897}</x14:id>
        </ext>
      </extLst>
    </cfRule>
  </conditionalFormatting>
  <conditionalFormatting sqref="D204">
    <cfRule type="dataBar" priority="290">
      <dataBar>
        <cfvo type="num" val="0"/>
        <cfvo type="num" val="1"/>
        <color theme="0" tint="-0.249977111117893"/>
      </dataBar>
      <extLst>
        <ext xmlns:x14="http://schemas.microsoft.com/office/spreadsheetml/2009/9/main" uri="{B025F937-C7B1-47D3-B67F-A62EFF666E3E}">
          <x14:id>{41BB4CCB-219F-4C5C-B62A-15756A6BE509}</x14:id>
        </ext>
      </extLst>
    </cfRule>
  </conditionalFormatting>
  <conditionalFormatting sqref="D275">
    <cfRule type="dataBar" priority="334">
      <dataBar>
        <cfvo type="num" val="0"/>
        <cfvo type="num" val="1"/>
        <color theme="0" tint="-0.249977111117893"/>
      </dataBar>
      <extLst>
        <ext xmlns:x14="http://schemas.microsoft.com/office/spreadsheetml/2009/9/main" uri="{B025F937-C7B1-47D3-B67F-A62EFF666E3E}">
          <x14:id>{4B34C34A-146E-40EE-9017-C5BD6E75CC97}</x14:id>
        </ext>
      </extLst>
    </cfRule>
  </conditionalFormatting>
  <conditionalFormatting sqref="D202">
    <cfRule type="dataBar" priority="282">
      <dataBar>
        <cfvo type="num" val="0"/>
        <cfvo type="num" val="1"/>
        <color theme="0" tint="-0.249977111117893"/>
      </dataBar>
      <extLst>
        <ext xmlns:x14="http://schemas.microsoft.com/office/spreadsheetml/2009/9/main" uri="{B025F937-C7B1-47D3-B67F-A62EFF666E3E}">
          <x14:id>{025D4163-ACDE-4B71-93AF-22BAB71C1543}</x14:id>
        </ext>
      </extLst>
    </cfRule>
  </conditionalFormatting>
  <conditionalFormatting sqref="D200">
    <cfRule type="dataBar" priority="274">
      <dataBar>
        <cfvo type="num" val="0"/>
        <cfvo type="num" val="1"/>
        <color theme="0" tint="-0.249977111117893"/>
      </dataBar>
      <extLst>
        <ext xmlns:x14="http://schemas.microsoft.com/office/spreadsheetml/2009/9/main" uri="{B025F937-C7B1-47D3-B67F-A62EFF666E3E}">
          <x14:id>{A66614BD-0036-4E23-A0A6-430614FCD24D}</x14:id>
        </ext>
      </extLst>
    </cfRule>
  </conditionalFormatting>
  <conditionalFormatting sqref="D198">
    <cfRule type="dataBar" priority="266">
      <dataBar>
        <cfvo type="num" val="0"/>
        <cfvo type="num" val="1"/>
        <color theme="0" tint="-0.249977111117893"/>
      </dataBar>
      <extLst>
        <ext xmlns:x14="http://schemas.microsoft.com/office/spreadsheetml/2009/9/main" uri="{B025F937-C7B1-47D3-B67F-A62EFF666E3E}">
          <x14:id>{9704C80E-23E1-45AF-896E-F7D6DF870448}</x14:id>
        </ext>
      </extLst>
    </cfRule>
  </conditionalFormatting>
  <conditionalFormatting sqref="D203">
    <cfRule type="dataBar" priority="278">
      <dataBar>
        <cfvo type="num" val="0"/>
        <cfvo type="num" val="1"/>
        <color theme="0" tint="-0.249977111117893"/>
      </dataBar>
      <extLst>
        <ext xmlns:x14="http://schemas.microsoft.com/office/spreadsheetml/2009/9/main" uri="{B025F937-C7B1-47D3-B67F-A62EFF666E3E}">
          <x14:id>{D9E4D5D5-0A03-49FD-AFBD-87C86DE56A1B}</x14:id>
        </ext>
      </extLst>
    </cfRule>
  </conditionalFormatting>
  <conditionalFormatting sqref="D208">
    <cfRule type="dataBar" priority="326">
      <dataBar>
        <cfvo type="num" val="0"/>
        <cfvo type="num" val="1"/>
        <color theme="0" tint="-0.249977111117893"/>
      </dataBar>
      <extLst>
        <ext xmlns:x14="http://schemas.microsoft.com/office/spreadsheetml/2009/9/main" uri="{B025F937-C7B1-47D3-B67F-A62EFF666E3E}">
          <x14:id>{83251B7C-072F-4B23-963A-1308A73BFE85}</x14:id>
        </ext>
      </extLst>
    </cfRule>
  </conditionalFormatting>
  <conditionalFormatting sqref="D243">
    <cfRule type="dataBar" priority="131">
      <dataBar>
        <cfvo type="num" val="0"/>
        <cfvo type="num" val="1"/>
        <color theme="0" tint="-0.249977111117893"/>
      </dataBar>
      <extLst>
        <ext xmlns:x14="http://schemas.microsoft.com/office/spreadsheetml/2009/9/main" uri="{B025F937-C7B1-47D3-B67F-A62EFF666E3E}">
          <x14:id>{08367E91-5AAF-436B-BA82-E11EBA042847}</x14:id>
        </ext>
      </extLst>
    </cfRule>
  </conditionalFormatting>
  <conditionalFormatting sqref="D242">
    <cfRule type="dataBar" priority="127">
      <dataBar>
        <cfvo type="num" val="0"/>
        <cfvo type="num" val="1"/>
        <color theme="0" tint="-0.249977111117893"/>
      </dataBar>
      <extLst>
        <ext xmlns:x14="http://schemas.microsoft.com/office/spreadsheetml/2009/9/main" uri="{B025F937-C7B1-47D3-B67F-A62EFF666E3E}">
          <x14:id>{6C54D4C0-C59C-4D8D-9649-0B980780A33A}</x14:id>
        </ext>
      </extLst>
    </cfRule>
  </conditionalFormatting>
  <conditionalFormatting sqref="D237">
    <cfRule type="dataBar" priority="135">
      <dataBar>
        <cfvo type="num" val="0"/>
        <cfvo type="num" val="1"/>
        <color theme="0" tint="-0.249977111117893"/>
      </dataBar>
      <extLst>
        <ext xmlns:x14="http://schemas.microsoft.com/office/spreadsheetml/2009/9/main" uri="{B025F937-C7B1-47D3-B67F-A62EFF666E3E}">
          <x14:id>{C50E1BD0-1DE4-45BF-9304-C3C73B545F85}</x14:id>
        </ext>
      </extLst>
    </cfRule>
  </conditionalFormatting>
  <conditionalFormatting sqref="D197">
    <cfRule type="dataBar" priority="254">
      <dataBar>
        <cfvo type="num" val="0"/>
        <cfvo type="num" val="1"/>
        <color theme="0" tint="-0.249977111117893"/>
      </dataBar>
      <extLst>
        <ext xmlns:x14="http://schemas.microsoft.com/office/spreadsheetml/2009/9/main" uri="{B025F937-C7B1-47D3-B67F-A62EFF666E3E}">
          <x14:id>{5B57FA74-CC2E-4542-941A-D2603D253746}</x14:id>
        </ext>
      </extLst>
    </cfRule>
  </conditionalFormatting>
  <conditionalFormatting sqref="D201">
    <cfRule type="dataBar" priority="270">
      <dataBar>
        <cfvo type="num" val="0"/>
        <cfvo type="num" val="1"/>
        <color theme="0" tint="-0.249977111117893"/>
      </dataBar>
      <extLst>
        <ext xmlns:x14="http://schemas.microsoft.com/office/spreadsheetml/2009/9/main" uri="{B025F937-C7B1-47D3-B67F-A62EFF666E3E}">
          <x14:id>{A680E63F-DDB6-40F1-A2BA-C67BF3A08ACE}</x14:id>
        </ext>
      </extLst>
    </cfRule>
  </conditionalFormatting>
  <conditionalFormatting sqref="D199">
    <cfRule type="dataBar" priority="262">
      <dataBar>
        <cfvo type="num" val="0"/>
        <cfvo type="num" val="1"/>
        <color theme="0" tint="-0.249977111117893"/>
      </dataBar>
      <extLst>
        <ext xmlns:x14="http://schemas.microsoft.com/office/spreadsheetml/2009/9/main" uri="{B025F937-C7B1-47D3-B67F-A62EFF666E3E}">
          <x14:id>{0B4BA7EF-6FEF-45F5-A982-4F312349D8F1}</x14:id>
        </ext>
      </extLst>
    </cfRule>
  </conditionalFormatting>
  <conditionalFormatting sqref="D195">
    <cfRule type="dataBar" priority="246">
      <dataBar>
        <cfvo type="num" val="0"/>
        <cfvo type="num" val="1"/>
        <color theme="0" tint="-0.249977111117893"/>
      </dataBar>
      <extLst>
        <ext xmlns:x14="http://schemas.microsoft.com/office/spreadsheetml/2009/9/main" uri="{B025F937-C7B1-47D3-B67F-A62EFF666E3E}">
          <x14:id>{66230D85-0384-43D7-9485-1C7E53608792}</x14:id>
        </ext>
      </extLst>
    </cfRule>
  </conditionalFormatting>
  <conditionalFormatting sqref="D196">
    <cfRule type="dataBar" priority="258">
      <dataBar>
        <cfvo type="num" val="0"/>
        <cfvo type="num" val="1"/>
        <color theme="0" tint="-0.249977111117893"/>
      </dataBar>
      <extLst>
        <ext xmlns:x14="http://schemas.microsoft.com/office/spreadsheetml/2009/9/main" uri="{B025F937-C7B1-47D3-B67F-A62EFF666E3E}">
          <x14:id>{35848030-B8EC-40E0-ACFB-2EE6DD0EDF36}</x14:id>
        </ext>
      </extLst>
    </cfRule>
  </conditionalFormatting>
  <conditionalFormatting sqref="D191:D194">
    <cfRule type="dataBar" priority="250">
      <dataBar>
        <cfvo type="num" val="0"/>
        <cfvo type="num" val="1"/>
        <color theme="0" tint="-0.249977111117893"/>
      </dataBar>
      <extLst>
        <ext xmlns:x14="http://schemas.microsoft.com/office/spreadsheetml/2009/9/main" uri="{B025F937-C7B1-47D3-B67F-A62EFF666E3E}">
          <x14:id>{11E007A6-4875-49DC-8CD1-FBC12859FE10}</x14:id>
        </ext>
      </extLst>
    </cfRule>
  </conditionalFormatting>
  <conditionalFormatting sqref="D212">
    <cfRule type="dataBar" priority="230">
      <dataBar>
        <cfvo type="num" val="0"/>
        <cfvo type="num" val="1"/>
        <color theme="0" tint="-0.249977111117893"/>
      </dataBar>
      <extLst>
        <ext xmlns:x14="http://schemas.microsoft.com/office/spreadsheetml/2009/9/main" uri="{B025F937-C7B1-47D3-B67F-A62EFF666E3E}">
          <x14:id>{9280EF7F-B2E7-4314-B579-3CE1CC1AF02C}</x14:id>
        </ext>
      </extLst>
    </cfRule>
  </conditionalFormatting>
  <conditionalFormatting sqref="D215">
    <cfRule type="dataBar" priority="238">
      <dataBar>
        <cfvo type="num" val="0"/>
        <cfvo type="num" val="1"/>
        <color theme="0" tint="-0.249977111117893"/>
      </dataBar>
      <extLst>
        <ext xmlns:x14="http://schemas.microsoft.com/office/spreadsheetml/2009/9/main" uri="{B025F937-C7B1-47D3-B67F-A62EFF666E3E}">
          <x14:id>{0B57CBEA-25E2-4F14-807C-DA63D66C5F58}</x14:id>
        </ext>
      </extLst>
    </cfRule>
  </conditionalFormatting>
  <conditionalFormatting sqref="D221">
    <cfRule type="dataBar" priority="198">
      <dataBar>
        <cfvo type="num" val="0"/>
        <cfvo type="num" val="1"/>
        <color theme="0" tint="-0.249977111117893"/>
      </dataBar>
      <extLst>
        <ext xmlns:x14="http://schemas.microsoft.com/office/spreadsheetml/2009/9/main" uri="{B025F937-C7B1-47D3-B67F-A62EFF666E3E}">
          <x14:id>{92E333B8-8FA2-436F-B69F-85DA095FA1FE}</x14:id>
        </ext>
      </extLst>
    </cfRule>
  </conditionalFormatting>
  <conditionalFormatting sqref="D219">
    <cfRule type="dataBar" priority="222">
      <dataBar>
        <cfvo type="num" val="0"/>
        <cfvo type="num" val="1"/>
        <color theme="0" tint="-0.249977111117893"/>
      </dataBar>
      <extLst>
        <ext xmlns:x14="http://schemas.microsoft.com/office/spreadsheetml/2009/9/main" uri="{B025F937-C7B1-47D3-B67F-A62EFF666E3E}">
          <x14:id>{042406B0-796A-4107-B232-10EAF100274C}</x14:id>
        </ext>
      </extLst>
    </cfRule>
  </conditionalFormatting>
  <conditionalFormatting sqref="D240">
    <cfRule type="dataBar" priority="119">
      <dataBar>
        <cfvo type="num" val="0"/>
        <cfvo type="num" val="1"/>
        <color theme="0" tint="-0.249977111117893"/>
      </dataBar>
      <extLst>
        <ext xmlns:x14="http://schemas.microsoft.com/office/spreadsheetml/2009/9/main" uri="{B025F937-C7B1-47D3-B67F-A62EFF666E3E}">
          <x14:id>{6E27B835-DC03-4347-B588-E90E62429F04}</x14:id>
        </ext>
      </extLst>
    </cfRule>
  </conditionalFormatting>
  <conditionalFormatting sqref="D213:D214">
    <cfRule type="dataBar" priority="242">
      <dataBar>
        <cfvo type="num" val="0"/>
        <cfvo type="num" val="1"/>
        <color theme="0" tint="-0.249977111117893"/>
      </dataBar>
      <extLst>
        <ext xmlns:x14="http://schemas.microsoft.com/office/spreadsheetml/2009/9/main" uri="{B025F937-C7B1-47D3-B67F-A62EFF666E3E}">
          <x14:id>{D1A35447-676B-4596-A096-779735A613D4}</x14:id>
        </ext>
      </extLst>
    </cfRule>
  </conditionalFormatting>
  <conditionalFormatting sqref="D216">
    <cfRule type="dataBar" priority="218">
      <dataBar>
        <cfvo type="num" val="0"/>
        <cfvo type="num" val="1"/>
        <color theme="0" tint="-0.249977111117893"/>
      </dataBar>
      <extLst>
        <ext xmlns:x14="http://schemas.microsoft.com/office/spreadsheetml/2009/9/main" uri="{B025F937-C7B1-47D3-B67F-A62EFF666E3E}">
          <x14:id>{7BDDD66C-30B2-4DA3-A43D-A7E4A320C542}</x14:id>
        </ext>
      </extLst>
    </cfRule>
  </conditionalFormatting>
  <conditionalFormatting sqref="D217">
    <cfRule type="dataBar" priority="214">
      <dataBar>
        <cfvo type="num" val="0"/>
        <cfvo type="num" val="1"/>
        <color theme="0" tint="-0.249977111117893"/>
      </dataBar>
      <extLst>
        <ext xmlns:x14="http://schemas.microsoft.com/office/spreadsheetml/2009/9/main" uri="{B025F937-C7B1-47D3-B67F-A62EFF666E3E}">
          <x14:id>{FE67A755-89C1-41BB-AD31-1623B65B8F2B}</x14:id>
        </ext>
      </extLst>
    </cfRule>
  </conditionalFormatting>
  <conditionalFormatting sqref="D211">
    <cfRule type="dataBar" priority="197">
      <dataBar>
        <cfvo type="num" val="0"/>
        <cfvo type="num" val="1"/>
        <color theme="0" tint="-0.249977111117893"/>
      </dataBar>
      <extLst>
        <ext xmlns:x14="http://schemas.microsoft.com/office/spreadsheetml/2009/9/main" uri="{B025F937-C7B1-47D3-B67F-A62EFF666E3E}">
          <x14:id>{7A0204D0-565F-434C-8282-CB4ECC349795}</x14:id>
        </ext>
      </extLst>
    </cfRule>
  </conditionalFormatting>
  <conditionalFormatting sqref="D238">
    <cfRule type="dataBar" priority="111">
      <dataBar>
        <cfvo type="num" val="0"/>
        <cfvo type="num" val="1"/>
        <color theme="0" tint="-0.249977111117893"/>
      </dataBar>
      <extLst>
        <ext xmlns:x14="http://schemas.microsoft.com/office/spreadsheetml/2009/9/main" uri="{B025F937-C7B1-47D3-B67F-A62EFF666E3E}">
          <x14:id>{FC8D5B2C-FB11-4CB6-931F-E6D8FEAD04F6}</x14:id>
        </ext>
      </extLst>
    </cfRule>
  </conditionalFormatting>
  <conditionalFormatting sqref="D230">
    <cfRule type="dataBar" priority="206">
      <dataBar>
        <cfvo type="num" val="0"/>
        <cfvo type="num" val="1"/>
        <color theme="0" tint="-0.249977111117893"/>
      </dataBar>
      <extLst>
        <ext xmlns:x14="http://schemas.microsoft.com/office/spreadsheetml/2009/9/main" uri="{B025F937-C7B1-47D3-B67F-A62EFF666E3E}">
          <x14:id>{F33C3893-5198-4677-995A-1981551841EC}</x14:id>
        </ext>
      </extLst>
    </cfRule>
  </conditionalFormatting>
  <conditionalFormatting sqref="D218">
    <cfRule type="dataBar" priority="226">
      <dataBar>
        <cfvo type="num" val="0"/>
        <cfvo type="num" val="1"/>
        <color theme="0" tint="-0.249977111117893"/>
      </dataBar>
      <extLst>
        <ext xmlns:x14="http://schemas.microsoft.com/office/spreadsheetml/2009/9/main" uri="{B025F937-C7B1-47D3-B67F-A62EFF666E3E}">
          <x14:id>{1F450134-EAD0-422B-8B02-2DD16300FC1A}</x14:id>
        </ext>
      </extLst>
    </cfRule>
  </conditionalFormatting>
  <conditionalFormatting sqref="D228:D229">
    <cfRule type="dataBar" priority="210">
      <dataBar>
        <cfvo type="num" val="0"/>
        <cfvo type="num" val="1"/>
        <color theme="0" tint="-0.249977111117893"/>
      </dataBar>
      <extLst>
        <ext xmlns:x14="http://schemas.microsoft.com/office/spreadsheetml/2009/9/main" uri="{B025F937-C7B1-47D3-B67F-A62EFF666E3E}">
          <x14:id>{53EDC7EB-FBA1-4BA7-A8AD-BED9B4FB225E}</x14:id>
        </ext>
      </extLst>
    </cfRule>
  </conditionalFormatting>
  <conditionalFormatting sqref="D227">
    <cfRule type="dataBar" priority="189">
      <dataBar>
        <cfvo type="num" val="0"/>
        <cfvo type="num" val="1"/>
        <color theme="0" tint="-0.249977111117893"/>
      </dataBar>
      <extLst>
        <ext xmlns:x14="http://schemas.microsoft.com/office/spreadsheetml/2009/9/main" uri="{B025F937-C7B1-47D3-B67F-A62EFF666E3E}">
          <x14:id>{4B8617BE-8CE0-4DB0-BD32-CCDA47B33C5F}</x14:id>
        </ext>
      </extLst>
    </cfRule>
  </conditionalFormatting>
  <conditionalFormatting sqref="D220">
    <cfRule type="dataBar" priority="202">
      <dataBar>
        <cfvo type="num" val="0"/>
        <cfvo type="num" val="1"/>
        <color theme="0" tint="-0.249977111117893"/>
      </dataBar>
      <extLst>
        <ext xmlns:x14="http://schemas.microsoft.com/office/spreadsheetml/2009/9/main" uri="{B025F937-C7B1-47D3-B67F-A62EFF666E3E}">
          <x14:id>{B8F64950-95CC-4BB2-A406-AD998F407297}</x14:id>
        </ext>
      </extLst>
    </cfRule>
  </conditionalFormatting>
  <conditionalFormatting sqref="D241">
    <cfRule type="dataBar" priority="123">
      <dataBar>
        <cfvo type="num" val="0"/>
        <cfvo type="num" val="1"/>
        <color theme="0" tint="-0.249977111117893"/>
      </dataBar>
      <extLst>
        <ext xmlns:x14="http://schemas.microsoft.com/office/spreadsheetml/2009/9/main" uri="{B025F937-C7B1-47D3-B67F-A62EFF666E3E}">
          <x14:id>{87B9C752-1EB1-4A5D-A8B7-219B50E1BC1D}</x14:id>
        </ext>
      </extLst>
    </cfRule>
  </conditionalFormatting>
  <conditionalFormatting sqref="D224">
    <cfRule type="dataBar" priority="172">
      <dataBar>
        <cfvo type="num" val="0"/>
        <cfvo type="num" val="1"/>
        <color theme="0" tint="-0.249977111117893"/>
      </dataBar>
      <extLst>
        <ext xmlns:x14="http://schemas.microsoft.com/office/spreadsheetml/2009/9/main" uri="{B025F937-C7B1-47D3-B67F-A62EFF666E3E}">
          <x14:id>{92F538BA-52CB-4847-85A6-9C63AB87CC21}</x14:id>
        </ext>
      </extLst>
    </cfRule>
  </conditionalFormatting>
  <conditionalFormatting sqref="D226">
    <cfRule type="dataBar" priority="193">
      <dataBar>
        <cfvo type="num" val="0"/>
        <cfvo type="num" val="1"/>
        <color theme="0" tint="-0.249977111117893"/>
      </dataBar>
      <extLst>
        <ext xmlns:x14="http://schemas.microsoft.com/office/spreadsheetml/2009/9/main" uri="{B025F937-C7B1-47D3-B67F-A62EFF666E3E}">
          <x14:id>{5FB83CAF-5EAF-456F-9A85-E61BECDA1161}</x14:id>
        </ext>
      </extLst>
    </cfRule>
  </conditionalFormatting>
  <conditionalFormatting sqref="D245">
    <cfRule type="dataBar" priority="164">
      <dataBar>
        <cfvo type="num" val="0"/>
        <cfvo type="num" val="1"/>
        <color theme="0" tint="-0.249977111117893"/>
      </dataBar>
      <extLst>
        <ext xmlns:x14="http://schemas.microsoft.com/office/spreadsheetml/2009/9/main" uri="{B025F937-C7B1-47D3-B67F-A62EFF666E3E}">
          <x14:id>{574B46C7-18D0-48C6-8C40-83B49EBBEC7E}</x14:id>
        </ext>
      </extLst>
    </cfRule>
  </conditionalFormatting>
  <conditionalFormatting sqref="D239">
    <cfRule type="dataBar" priority="115">
      <dataBar>
        <cfvo type="num" val="0"/>
        <cfvo type="num" val="1"/>
        <color theme="0" tint="-0.249977111117893"/>
      </dataBar>
      <extLst>
        <ext xmlns:x14="http://schemas.microsoft.com/office/spreadsheetml/2009/9/main" uri="{B025F937-C7B1-47D3-B67F-A62EFF666E3E}">
          <x14:id>{02F73AFB-DF8B-478A-9084-1B7FCF704175}</x14:id>
        </ext>
      </extLst>
    </cfRule>
  </conditionalFormatting>
  <conditionalFormatting sqref="D250">
    <cfRule type="dataBar" priority="103">
      <dataBar>
        <cfvo type="num" val="0"/>
        <cfvo type="num" val="1"/>
        <color theme="0" tint="-0.249977111117893"/>
      </dataBar>
      <extLst>
        <ext xmlns:x14="http://schemas.microsoft.com/office/spreadsheetml/2009/9/main" uri="{B025F937-C7B1-47D3-B67F-A62EFF666E3E}">
          <x14:id>{448DD524-AB9E-4201-837B-FD93295D9185}</x14:id>
        </ext>
      </extLst>
    </cfRule>
  </conditionalFormatting>
  <conditionalFormatting sqref="D231">
    <cfRule type="dataBar" priority="168">
      <dataBar>
        <cfvo type="num" val="0"/>
        <cfvo type="num" val="1"/>
        <color theme="0" tint="-0.249977111117893"/>
      </dataBar>
      <extLst>
        <ext xmlns:x14="http://schemas.microsoft.com/office/spreadsheetml/2009/9/main" uri="{B025F937-C7B1-47D3-B67F-A62EFF666E3E}">
          <x14:id>{1C55E6E0-78F3-4FB4-A0D7-6559957C1137}</x14:id>
        </ext>
      </extLst>
    </cfRule>
  </conditionalFormatting>
  <conditionalFormatting sqref="D244">
    <cfRule type="dataBar" priority="160">
      <dataBar>
        <cfvo type="num" val="0"/>
        <cfvo type="num" val="1"/>
        <color theme="0" tint="-0.249977111117893"/>
      </dataBar>
      <extLst>
        <ext xmlns:x14="http://schemas.microsoft.com/office/spreadsheetml/2009/9/main" uri="{B025F937-C7B1-47D3-B67F-A62EFF666E3E}">
          <x14:id>{0668245E-CBF8-4DC6-BF62-D90EB12C4926}</x14:id>
        </ext>
      </extLst>
    </cfRule>
  </conditionalFormatting>
  <conditionalFormatting sqref="D249">
    <cfRule type="dataBar" priority="99">
      <dataBar>
        <cfvo type="num" val="0"/>
        <cfvo type="num" val="1"/>
        <color theme="0" tint="-0.249977111117893"/>
      </dataBar>
      <extLst>
        <ext xmlns:x14="http://schemas.microsoft.com/office/spreadsheetml/2009/9/main" uri="{B025F937-C7B1-47D3-B67F-A62EFF666E3E}">
          <x14:id>{20EEEEC6-A4CB-495C-AD16-7F59E26D94C3}</x14:id>
        </ext>
      </extLst>
    </cfRule>
  </conditionalFormatting>
  <conditionalFormatting sqref="D236">
    <cfRule type="dataBar" priority="152">
      <dataBar>
        <cfvo type="num" val="0"/>
        <cfvo type="num" val="1"/>
        <color theme="0" tint="-0.249977111117893"/>
      </dataBar>
      <extLst>
        <ext xmlns:x14="http://schemas.microsoft.com/office/spreadsheetml/2009/9/main" uri="{B025F937-C7B1-47D3-B67F-A62EFF666E3E}">
          <x14:id>{8812DF89-915E-41AC-B459-64F494BB2404}</x14:id>
        </ext>
      </extLst>
    </cfRule>
  </conditionalFormatting>
  <conditionalFormatting sqref="D247">
    <cfRule type="dataBar" priority="91">
      <dataBar>
        <cfvo type="num" val="0"/>
        <cfvo type="num" val="1"/>
        <color theme="0" tint="-0.249977111117893"/>
      </dataBar>
      <extLst>
        <ext xmlns:x14="http://schemas.microsoft.com/office/spreadsheetml/2009/9/main" uri="{B025F937-C7B1-47D3-B67F-A62EFF666E3E}">
          <x14:id>{F5EFCCE2-27FA-4237-BE02-35D5E7441715}</x14:id>
        </ext>
      </extLst>
    </cfRule>
  </conditionalFormatting>
  <conditionalFormatting sqref="D223">
    <cfRule type="dataBar" priority="173">
      <dataBar>
        <cfvo type="num" val="0"/>
        <cfvo type="num" val="1"/>
        <color theme="0" tint="-0.249977111117893"/>
      </dataBar>
      <extLst>
        <ext xmlns:x14="http://schemas.microsoft.com/office/spreadsheetml/2009/9/main" uri="{B025F937-C7B1-47D3-B67F-A62EFF666E3E}">
          <x14:id>{E5DFE96F-4E3C-4425-A825-3D70A61EC8B4}</x14:id>
        </ext>
      </extLst>
    </cfRule>
  </conditionalFormatting>
  <conditionalFormatting sqref="D225">
    <cfRule type="dataBar" priority="181">
      <dataBar>
        <cfvo type="num" val="0"/>
        <cfvo type="num" val="1"/>
        <color theme="0" tint="-0.249977111117893"/>
      </dataBar>
      <extLst>
        <ext xmlns:x14="http://schemas.microsoft.com/office/spreadsheetml/2009/9/main" uri="{B025F937-C7B1-47D3-B67F-A62EFF666E3E}">
          <x14:id>{EEC0E085-DF91-463E-A4AE-BEB417373999}</x14:id>
        </ext>
      </extLst>
    </cfRule>
  </conditionalFormatting>
  <conditionalFormatting sqref="D222">
    <cfRule type="dataBar" priority="177">
      <dataBar>
        <cfvo type="num" val="0"/>
        <cfvo type="num" val="1"/>
        <color theme="0" tint="-0.249977111117893"/>
      </dataBar>
      <extLst>
        <ext xmlns:x14="http://schemas.microsoft.com/office/spreadsheetml/2009/9/main" uri="{B025F937-C7B1-47D3-B67F-A62EFF666E3E}">
          <x14:id>{9D71BEF4-6EFF-4D61-A707-31588B769210}</x14:id>
        </ext>
      </extLst>
    </cfRule>
  </conditionalFormatting>
  <conditionalFormatting sqref="D246">
    <cfRule type="dataBar" priority="87">
      <dataBar>
        <cfvo type="num" val="0"/>
        <cfvo type="num" val="1"/>
        <color theme="0" tint="-0.249977111117893"/>
      </dataBar>
      <extLst>
        <ext xmlns:x14="http://schemas.microsoft.com/office/spreadsheetml/2009/9/main" uri="{B025F937-C7B1-47D3-B67F-A62EFF666E3E}">
          <x14:id>{AC162C51-E165-4A1D-A4EC-62BFE4B4F5D7}</x14:id>
        </ext>
      </extLst>
    </cfRule>
  </conditionalFormatting>
  <conditionalFormatting sqref="D248">
    <cfRule type="dataBar" priority="95">
      <dataBar>
        <cfvo type="num" val="0"/>
        <cfvo type="num" val="1"/>
        <color theme="0" tint="-0.249977111117893"/>
      </dataBar>
      <extLst>
        <ext xmlns:x14="http://schemas.microsoft.com/office/spreadsheetml/2009/9/main" uri="{B025F937-C7B1-47D3-B67F-A62EFF666E3E}">
          <x14:id>{3AC58E67-D407-4CBE-993E-8742C67BD46A}</x14:id>
        </ext>
      </extLst>
    </cfRule>
  </conditionalFormatting>
  <conditionalFormatting sqref="D252">
    <cfRule type="dataBar" priority="67">
      <dataBar>
        <cfvo type="num" val="0"/>
        <cfvo type="num" val="1"/>
        <color theme="0" tint="-0.249977111117893"/>
      </dataBar>
      <extLst>
        <ext xmlns:x14="http://schemas.microsoft.com/office/spreadsheetml/2009/9/main" uri="{B025F937-C7B1-47D3-B67F-A62EFF666E3E}">
          <x14:id>{B678FD35-D9F3-43D8-A38B-D3021305B6C5}</x14:id>
        </ext>
      </extLst>
    </cfRule>
  </conditionalFormatting>
  <conditionalFormatting sqref="D272">
    <cfRule type="dataBar" priority="55">
      <dataBar>
        <cfvo type="num" val="0"/>
        <cfvo type="num" val="1"/>
        <color theme="0" tint="-0.249977111117893"/>
      </dataBar>
      <extLst>
        <ext xmlns:x14="http://schemas.microsoft.com/office/spreadsheetml/2009/9/main" uri="{B025F937-C7B1-47D3-B67F-A62EFF666E3E}">
          <x14:id>{788140DF-D0FB-4CB0-A7F9-38D87E1D1E66}</x14:id>
        </ext>
      </extLst>
    </cfRule>
  </conditionalFormatting>
  <conditionalFormatting sqref="D253">
    <cfRule type="dataBar" priority="51">
      <dataBar>
        <cfvo type="num" val="0"/>
        <cfvo type="num" val="1"/>
        <color theme="0" tint="-0.249977111117893"/>
      </dataBar>
      <extLst>
        <ext xmlns:x14="http://schemas.microsoft.com/office/spreadsheetml/2009/9/main" uri="{B025F937-C7B1-47D3-B67F-A62EFF666E3E}">
          <x14:id>{D99D2553-B4BC-43CB-9A9F-192CD68BBA5F}</x14:id>
        </ext>
      </extLst>
    </cfRule>
  </conditionalFormatting>
  <conditionalFormatting sqref="D235">
    <cfRule type="dataBar" priority="148">
      <dataBar>
        <cfvo type="num" val="0"/>
        <cfvo type="num" val="1"/>
        <color theme="0" tint="-0.249977111117893"/>
      </dataBar>
      <extLst>
        <ext xmlns:x14="http://schemas.microsoft.com/office/spreadsheetml/2009/9/main" uri="{B025F937-C7B1-47D3-B67F-A62EFF666E3E}">
          <x14:id>{17C2049A-82D4-42F9-9283-E4C21FE58482}</x14:id>
        </ext>
      </extLst>
    </cfRule>
  </conditionalFormatting>
  <conditionalFormatting sqref="D234">
    <cfRule type="dataBar" priority="144">
      <dataBar>
        <cfvo type="num" val="0"/>
        <cfvo type="num" val="1"/>
        <color theme="0" tint="-0.249977111117893"/>
      </dataBar>
      <extLst>
        <ext xmlns:x14="http://schemas.microsoft.com/office/spreadsheetml/2009/9/main" uri="{B025F937-C7B1-47D3-B67F-A62EFF666E3E}">
          <x14:id>{EAF3F988-C46B-403B-A618-A3A900F3BA92}</x14:id>
        </ext>
      </extLst>
    </cfRule>
  </conditionalFormatting>
  <conditionalFormatting sqref="D233">
    <cfRule type="dataBar" priority="140">
      <dataBar>
        <cfvo type="num" val="0"/>
        <cfvo type="num" val="1"/>
        <color theme="0" tint="-0.249977111117893"/>
      </dataBar>
      <extLst>
        <ext xmlns:x14="http://schemas.microsoft.com/office/spreadsheetml/2009/9/main" uri="{B025F937-C7B1-47D3-B67F-A62EFF666E3E}">
          <x14:id>{2027B172-4578-4C6D-A1A8-35A85A559B4F}</x14:id>
        </ext>
      </extLst>
    </cfRule>
  </conditionalFormatting>
  <conditionalFormatting sqref="D232">
    <cfRule type="dataBar" priority="136">
      <dataBar>
        <cfvo type="num" val="0"/>
        <cfvo type="num" val="1"/>
        <color theme="0" tint="-0.249977111117893"/>
      </dataBar>
      <extLst>
        <ext xmlns:x14="http://schemas.microsoft.com/office/spreadsheetml/2009/9/main" uri="{B025F937-C7B1-47D3-B67F-A62EFF666E3E}">
          <x14:id>{5C37794D-8128-486A-944E-DCE92DFDC2BB}</x14:id>
        </ext>
      </extLst>
    </cfRule>
  </conditionalFormatting>
  <conditionalFormatting sqref="D251">
    <cfRule type="dataBar" priority="83">
      <dataBar>
        <cfvo type="num" val="0"/>
        <cfvo type="num" val="1"/>
        <color theme="0" tint="-0.249977111117893"/>
      </dataBar>
      <extLst>
        <ext xmlns:x14="http://schemas.microsoft.com/office/spreadsheetml/2009/9/main" uri="{B025F937-C7B1-47D3-B67F-A62EFF666E3E}">
          <x14:id>{8824F219-A4DD-4C3E-93E6-DAB2448C5D31}</x14:id>
        </ext>
      </extLst>
    </cfRule>
  </conditionalFormatting>
  <conditionalFormatting sqref="D270">
    <cfRule type="dataBar" priority="63">
      <dataBar>
        <cfvo type="num" val="0"/>
        <cfvo type="num" val="1"/>
        <color theme="0" tint="-0.249977111117893"/>
      </dataBar>
      <extLst>
        <ext xmlns:x14="http://schemas.microsoft.com/office/spreadsheetml/2009/9/main" uri="{B025F937-C7B1-47D3-B67F-A62EFF666E3E}">
          <x14:id>{1C93DA02-DB91-4C51-ABB3-49F2CF6C8990}</x14:id>
        </ext>
      </extLst>
    </cfRule>
  </conditionalFormatting>
  <conditionalFormatting sqref="D261:D262">
    <cfRule type="dataBar" priority="39">
      <dataBar>
        <cfvo type="num" val="0"/>
        <cfvo type="num" val="1"/>
        <color theme="0" tint="-0.249977111117893"/>
      </dataBar>
      <extLst>
        <ext xmlns:x14="http://schemas.microsoft.com/office/spreadsheetml/2009/9/main" uri="{B025F937-C7B1-47D3-B67F-A62EFF666E3E}">
          <x14:id>{556243AF-0F63-4367-BD0B-E7AE2FB2F18D}</x14:id>
        </ext>
      </extLst>
    </cfRule>
  </conditionalFormatting>
  <conditionalFormatting sqref="D271">
    <cfRule type="dataBar" priority="59">
      <dataBar>
        <cfvo type="num" val="0"/>
        <cfvo type="num" val="1"/>
        <color theme="0" tint="-0.249977111117893"/>
      </dataBar>
      <extLst>
        <ext xmlns:x14="http://schemas.microsoft.com/office/spreadsheetml/2009/9/main" uri="{B025F937-C7B1-47D3-B67F-A62EFF666E3E}">
          <x14:id>{6756CA2F-B5CC-4373-A94B-FE33B342C765}</x14:id>
        </ext>
      </extLst>
    </cfRule>
  </conditionalFormatting>
  <conditionalFormatting sqref="D257">
    <cfRule type="dataBar" priority="31">
      <dataBar>
        <cfvo type="num" val="0"/>
        <cfvo type="num" val="1"/>
        <color theme="0" tint="-0.249977111117893"/>
      </dataBar>
      <extLst>
        <ext xmlns:x14="http://schemas.microsoft.com/office/spreadsheetml/2009/9/main" uri="{B025F937-C7B1-47D3-B67F-A62EFF666E3E}">
          <x14:id>{70322B90-4F6B-4307-A4FD-ED763DCF9CA4}</x14:id>
        </ext>
      </extLst>
    </cfRule>
  </conditionalFormatting>
  <conditionalFormatting sqref="D255:D256">
    <cfRule type="dataBar" priority="19">
      <dataBar>
        <cfvo type="num" val="0"/>
        <cfvo type="num" val="1"/>
        <color theme="0" tint="-0.249977111117893"/>
      </dataBar>
      <extLst>
        <ext xmlns:x14="http://schemas.microsoft.com/office/spreadsheetml/2009/9/main" uri="{B025F937-C7B1-47D3-B67F-A62EFF666E3E}">
          <x14:id>{CEEC286F-540D-43B2-BA03-CC2D96B12229}</x14:id>
        </ext>
      </extLst>
    </cfRule>
  </conditionalFormatting>
  <conditionalFormatting sqref="D258:D260">
    <cfRule type="dataBar" priority="27">
      <dataBar>
        <cfvo type="num" val="0"/>
        <cfvo type="num" val="1"/>
        <color theme="0" tint="-0.249977111117893"/>
      </dataBar>
      <extLst>
        <ext xmlns:x14="http://schemas.microsoft.com/office/spreadsheetml/2009/9/main" uri="{B025F937-C7B1-47D3-B67F-A62EFF666E3E}">
          <x14:id>{3AF89674-9BD5-4CF0-BB2B-020139AB45A0}</x14:id>
        </ext>
      </extLst>
    </cfRule>
  </conditionalFormatting>
  <conditionalFormatting sqref="D254">
    <cfRule type="dataBar" priority="23">
      <dataBar>
        <cfvo type="num" val="0"/>
        <cfvo type="num" val="1"/>
        <color theme="0" tint="-0.249977111117893"/>
      </dataBar>
      <extLst>
        <ext xmlns:x14="http://schemas.microsoft.com/office/spreadsheetml/2009/9/main" uri="{B025F937-C7B1-47D3-B67F-A62EFF666E3E}">
          <x14:id>{D0792273-4AC8-44BC-BC1A-1B7F7951A3B1}</x14:id>
        </ext>
      </extLst>
    </cfRule>
  </conditionalFormatting>
  <conditionalFormatting sqref="BK5:BK277">
    <cfRule type="expression" dxfId="21" priority="984">
      <formula>AND(TODAY()&gt;=BK$5,TODAY()&lt;CU$5)</formula>
    </cfRule>
  </conditionalFormatting>
  <conditionalFormatting sqref="BK7:BK277">
    <cfRule type="expression" dxfId="20" priority="999">
      <formula>AND(タスク_開始&lt;=BK$5,ROUNDDOWN((タスク_終了-タスク_開始+1)*タスク_進捗状況,0)+タスク_開始-1&gt;=BK$5)</formula>
    </cfRule>
  </conditionalFormatting>
  <conditionalFormatting sqref="BR5:BR277">
    <cfRule type="expression" dxfId="19" priority="1002">
      <formula>AND(TODAY()&gt;=BR$5,TODAY()&lt;CU$5)</formula>
    </cfRule>
  </conditionalFormatting>
  <conditionalFormatting sqref="BR7:BR277">
    <cfRule type="expression" dxfId="18" priority="1005">
      <formula>AND(タスク_開始&lt;=BR$5,ROUNDDOWN((タスク_終了-タスク_開始+1)*タスク_進捗状況,0)+タスク_開始-1&gt;=BR$5)</formula>
    </cfRule>
  </conditionalFormatting>
  <conditionalFormatting sqref="BS5:CT277">
    <cfRule type="expression" dxfId="17" priority="15">
      <formula>AND(TODAY()&gt;=BS$5,TODAY()&lt;BT$5)</formula>
    </cfRule>
  </conditionalFormatting>
  <conditionalFormatting sqref="BS7:CT277">
    <cfRule type="expression" dxfId="16" priority="13">
      <formula>AND(タスク_開始&lt;=BS$5,ROUNDDOWN((タスク_終了-タスク_開始+1)*タスク_進捗状況,0)+タスク_開始-1&gt;=BS$5)</formula>
    </cfRule>
    <cfRule type="expression" dxfId="15" priority="14" stopIfTrue="1">
      <formula>AND(タスク_終了&gt;=BS$5,タスク_開始&lt;BT$5)</formula>
    </cfRule>
  </conditionalFormatting>
  <conditionalFormatting sqref="CU5:CZ277 DB5:DG277">
    <cfRule type="expression" dxfId="14" priority="6">
      <formula>AND(TODAY()&gt;=CU$5,TODAY()&lt;CV$5)</formula>
    </cfRule>
  </conditionalFormatting>
  <conditionalFormatting sqref="CU7:CZ277 DB7:DG277">
    <cfRule type="expression" dxfId="13" priority="4">
      <formula>AND(タスク_開始&lt;=CU$5,ROUNDDOWN((タスク_終了-タスク_開始+1)*タスク_進捗状況,0)+タスク_開始-1&gt;=CU$5)</formula>
    </cfRule>
    <cfRule type="expression" dxfId="12" priority="5" stopIfTrue="1">
      <formula>AND(タスク_終了&gt;=CU$5,タスク_開始&lt;CV$5)</formula>
    </cfRule>
  </conditionalFormatting>
  <conditionalFormatting sqref="DA5:DA277">
    <cfRule type="expression" dxfId="11" priority="1007">
      <formula>AND(TODAY()&gt;=DA$5,TODAY()&lt;#REF!)</formula>
    </cfRule>
  </conditionalFormatting>
  <conditionalFormatting sqref="DA7:DA277">
    <cfRule type="expression" dxfId="10" priority="1008">
      <formula>AND(タスク_開始&lt;=DA$5,ROUNDDOWN((タスク_終了-タスク_開始+1)*タスク_進捗状況,0)+タスク_開始-1&gt;=DA$5)</formula>
    </cfRule>
    <cfRule type="expression" dxfId="9" priority="1009" stopIfTrue="1">
      <formula>AND(タスク_終了&gt;=DA$5,タスク_開始&lt;#REF!)</formula>
    </cfRule>
  </conditionalFormatting>
  <conditionalFormatting sqref="DH5:DH277">
    <cfRule type="expression" dxfId="8" priority="1010">
      <formula>AND(TODAY()&gt;=DH$5,TODAY()&lt;#REF!)</formula>
    </cfRule>
  </conditionalFormatting>
  <conditionalFormatting sqref="DH7:DH277">
    <cfRule type="expression" dxfId="7" priority="1011">
      <formula>AND(タスク_開始&lt;=DH$5,ROUNDDOWN((タスク_終了-タスク_開始+1)*タスク_進捗状況,0)+タスク_開始-1&gt;=DH$5)</formula>
    </cfRule>
    <cfRule type="expression" dxfId="6" priority="1012" stopIfTrue="1">
      <formula>AND(タスク_終了&gt;=DH$5,タスク_開始&lt;#REF!)</formula>
    </cfRule>
  </conditionalFormatting>
  <conditionalFormatting sqref="EC5:EC277">
    <cfRule type="expression" dxfId="5" priority="1014">
      <formula>AND(TODAY()&gt;=EC$5,TODAY()&lt;#REF!)</formula>
    </cfRule>
  </conditionalFormatting>
  <conditionalFormatting sqref="EC7:EC277">
    <cfRule type="expression" dxfId="4" priority="1017">
      <formula>AND(タスク_開始&lt;=EC$5,ROUNDDOWN((タスク_終了-タスク_開始+1)*タスク_進捗状況,0)+タスク_開始-1&gt;=EC$5)</formula>
    </cfRule>
    <cfRule type="expression" dxfId="3" priority="1018" stopIfTrue="1">
      <formula>AND(タスク_終了&gt;=EC$5,タスク_開始&lt;#REF!)</formula>
    </cfRule>
  </conditionalFormatting>
  <conditionalFormatting sqref="BM145">
    <cfRule type="expression" dxfId="2" priority="1020">
      <formula>AND(TODAY()&gt;=BJ$5,TODAY()&lt;BK$5)</formula>
    </cfRule>
  </conditionalFormatting>
  <conditionalFormatting sqref="BM145">
    <cfRule type="expression" dxfId="1" priority="1023">
      <formula>AND(タスク_開始&lt;=BJ$5,ROUNDDOWN((タスク_終了-タスク_開始+1)*タスク_進捗状況,0)+タスク_開始-1&gt;=BJ$5)</formula>
    </cfRule>
    <cfRule type="expression" dxfId="0" priority="1024" stopIfTrue="1">
      <formula>AND(タスク_終了&gt;=BJ$5,タスク_開始&lt;BK$5)</formula>
    </cfRule>
  </conditionalFormatting>
  <dataValidations disablePrompts="1" count="1">
    <dataValidation type="whole" operator="greaterThanOrEqual" allowBlank="1" showInputMessage="1" promptTitle="週表示" prompt="この数字を変更すると、ガント チャート ビューがスクロールされます。" sqref="E4" xr:uid="{00000000-0002-0000-0000-000000000000}">
      <formula1>1</formula1>
    </dataValidation>
  </dataValidations>
  <hyperlinks>
    <hyperlink ref="H2" r:id="rId1" xr:uid="{00000000-0004-0000-0000-000000000000}"/>
    <hyperlink ref="H1" r:id="rId2" xr:uid="{00000000-0004-0000-0000-000001000000}"/>
  </hyperlinks>
  <printOptions horizontalCentered="1"/>
  <pageMargins left="0.35" right="0.35" top="0.35" bottom="0.5" header="0.3" footer="0.3"/>
  <pageSetup paperSize="9" scale="51" fitToHeight="0" orientation="landscape" r:id="rId3"/>
  <headerFooter differentFirst="1" scaleWithDoc="0">
    <oddFooter>Page &amp;P of &amp;N</oddFooter>
  </headerFooter>
  <colBreaks count="1" manualBreakCount="1">
    <brk id="1" max="1048575" man="1"/>
  </colBreak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D7:D12 D276:D277 D14:D20 D34:D38 D43 D62:D70 D102:D106</xm:sqref>
        </x14:conditionalFormatting>
        <x14:conditionalFormatting xmlns:xm="http://schemas.microsoft.com/office/excel/2006/main">
          <x14:cfRule type="dataBar" id="{CE317B0D-0A9B-4FFB-BFBB-EDFF6AD61021}">
            <x14:dataBar minLength="0" maxLength="100" gradient="0">
              <x14:cfvo type="num">
                <xm:f>0</xm:f>
              </x14:cfvo>
              <x14:cfvo type="num">
                <xm:f>1</xm:f>
              </x14:cfvo>
              <x14:negativeFillColor rgb="FFFF0000"/>
              <x14:axisColor rgb="FF000000"/>
            </x14:dataBar>
          </x14:cfRule>
          <xm:sqref>D73:D76 D78</xm:sqref>
        </x14:conditionalFormatting>
        <x14:conditionalFormatting xmlns:xm="http://schemas.microsoft.com/office/excel/2006/main">
          <x14:cfRule type="dataBar" id="{148D9BC2-E984-4787-9F72-CDF070986106}">
            <x14:dataBar minLength="0" maxLength="100" gradient="0">
              <x14:cfvo type="num">
                <xm:f>0</xm:f>
              </x14:cfvo>
              <x14:cfvo type="num">
                <xm:f>1</xm:f>
              </x14:cfvo>
              <x14:negativeFillColor rgb="FFFF0000"/>
              <x14:axisColor rgb="FF000000"/>
            </x14:dataBar>
          </x14:cfRule>
          <xm:sqref>D86:D90 D92</xm:sqref>
        </x14:conditionalFormatting>
        <x14:conditionalFormatting xmlns:xm="http://schemas.microsoft.com/office/excel/2006/main">
          <x14:cfRule type="dataBar" id="{75BDC9C7-998C-4F35-A74A-70E06D97BA93}">
            <x14:dataBar minLength="0" maxLength="100" gradient="0">
              <x14:cfvo type="num">
                <xm:f>0</xm:f>
              </x14:cfvo>
              <x14:cfvo type="num">
                <xm:f>1</xm:f>
              </x14:cfvo>
              <x14:negativeFillColor rgb="FFFF0000"/>
              <x14:axisColor rgb="FF000000"/>
            </x14:dataBar>
          </x14:cfRule>
          <xm:sqref>D13</xm:sqref>
        </x14:conditionalFormatting>
        <x14:conditionalFormatting xmlns:xm="http://schemas.microsoft.com/office/excel/2006/main">
          <x14:cfRule type="dataBar" id="{F71AFC87-1EEF-41AD-AAB0-D7E78F3AD625}">
            <x14:dataBar minLength="0" maxLength="100" gradient="0">
              <x14:cfvo type="num">
                <xm:f>0</xm:f>
              </x14:cfvo>
              <x14:cfvo type="num">
                <xm:f>1</xm:f>
              </x14:cfvo>
              <x14:negativeFillColor rgb="FFFF0000"/>
              <x14:axisColor rgb="FF000000"/>
            </x14:dataBar>
          </x14:cfRule>
          <xm:sqref>D24</xm:sqref>
        </x14:conditionalFormatting>
        <x14:conditionalFormatting xmlns:xm="http://schemas.microsoft.com/office/excel/2006/main">
          <x14:cfRule type="dataBar" id="{C8F9CB4C-2954-41F7-BE4C-D23575E64074}">
            <x14:dataBar minLength="0" maxLength="100" gradient="0">
              <x14:cfvo type="num">
                <xm:f>0</xm:f>
              </x14:cfvo>
              <x14:cfvo type="num">
                <xm:f>1</xm:f>
              </x14:cfvo>
              <x14:negativeFillColor rgb="FFFF0000"/>
              <x14:axisColor rgb="FF000000"/>
            </x14:dataBar>
          </x14:cfRule>
          <xm:sqref>D22:D23</xm:sqref>
        </x14:conditionalFormatting>
        <x14:conditionalFormatting xmlns:xm="http://schemas.microsoft.com/office/excel/2006/main">
          <x14:cfRule type="dataBar" id="{FB2679CE-EA30-4DE5-8E3B-64FFC4F7E5D8}">
            <x14:dataBar minLength="0" maxLength="100" gradient="0">
              <x14:cfvo type="num">
                <xm:f>0</xm:f>
              </x14:cfvo>
              <x14:cfvo type="num">
                <xm:f>1</xm:f>
              </x14:cfvo>
              <x14:negativeFillColor rgb="FFFF0000"/>
              <x14:axisColor rgb="FF000000"/>
            </x14:dataBar>
          </x14:cfRule>
          <xm:sqref>D21</xm:sqref>
        </x14:conditionalFormatting>
        <x14:conditionalFormatting xmlns:xm="http://schemas.microsoft.com/office/excel/2006/main">
          <x14:cfRule type="dataBar" id="{8B99CA9C-E426-44CE-BAA1-47720A9FCE0D}">
            <x14:dataBar minLength="0" maxLength="100" gradient="0">
              <x14:cfvo type="num">
                <xm:f>0</xm:f>
              </x14:cfvo>
              <x14:cfvo type="num">
                <xm:f>1</xm:f>
              </x14:cfvo>
              <x14:negativeFillColor rgb="FFFF0000"/>
              <x14:axisColor rgb="FF000000"/>
            </x14:dataBar>
          </x14:cfRule>
          <xm:sqref>D29</xm:sqref>
        </x14:conditionalFormatting>
        <x14:conditionalFormatting xmlns:xm="http://schemas.microsoft.com/office/excel/2006/main">
          <x14:cfRule type="dataBar" id="{AB27027D-5D1F-41F9-8B86-F4A29340CB0A}">
            <x14:dataBar minLength="0" maxLength="100" gradient="0">
              <x14:cfvo type="num">
                <xm:f>0</xm:f>
              </x14:cfvo>
              <x14:cfvo type="num">
                <xm:f>1</xm:f>
              </x14:cfvo>
              <x14:negativeFillColor rgb="FFFF0000"/>
              <x14:axisColor rgb="FF000000"/>
            </x14:dataBar>
          </x14:cfRule>
          <xm:sqref>D28</xm:sqref>
        </x14:conditionalFormatting>
        <x14:conditionalFormatting xmlns:xm="http://schemas.microsoft.com/office/excel/2006/main">
          <x14:cfRule type="dataBar" id="{0EC41953-5A81-4F21-8E07-63123EEFBDA3}">
            <x14:dataBar minLength="0" maxLength="100" gradient="0">
              <x14:cfvo type="num">
                <xm:f>0</xm:f>
              </x14:cfvo>
              <x14:cfvo type="num">
                <xm:f>1</xm:f>
              </x14:cfvo>
              <x14:negativeFillColor rgb="FFFF0000"/>
              <x14:axisColor rgb="FF000000"/>
            </x14:dataBar>
          </x14:cfRule>
          <xm:sqref>D27</xm:sqref>
        </x14:conditionalFormatting>
        <x14:conditionalFormatting xmlns:xm="http://schemas.microsoft.com/office/excel/2006/main">
          <x14:cfRule type="dataBar" id="{6329D946-E756-4B72-9338-8E016ACC3426}">
            <x14:dataBar minLength="0" maxLength="100" gradient="0">
              <x14:cfvo type="num">
                <xm:f>0</xm:f>
              </x14:cfvo>
              <x14:cfvo type="num">
                <xm:f>1</xm:f>
              </x14:cfvo>
              <x14:negativeFillColor rgb="FFFF0000"/>
              <x14:axisColor rgb="FF000000"/>
            </x14:dataBar>
          </x14:cfRule>
          <xm:sqref>D26</xm:sqref>
        </x14:conditionalFormatting>
        <x14:conditionalFormatting xmlns:xm="http://schemas.microsoft.com/office/excel/2006/main">
          <x14:cfRule type="dataBar" id="{198FD970-A431-48D4-A626-37930BFB6DFF}">
            <x14:dataBar minLength="0" maxLength="100" gradient="0">
              <x14:cfvo type="num">
                <xm:f>0</xm:f>
              </x14:cfvo>
              <x14:cfvo type="num">
                <xm:f>1</xm:f>
              </x14:cfvo>
              <x14:negativeFillColor rgb="FFFF0000"/>
              <x14:axisColor rgb="FF000000"/>
            </x14:dataBar>
          </x14:cfRule>
          <xm:sqref>D25</xm:sqref>
        </x14:conditionalFormatting>
        <x14:conditionalFormatting xmlns:xm="http://schemas.microsoft.com/office/excel/2006/main">
          <x14:cfRule type="dataBar" id="{0C19300A-9D97-41A3-AF53-85EB94CA3AEC}">
            <x14:dataBar minLength="0" maxLength="100" gradient="0">
              <x14:cfvo type="num">
                <xm:f>0</xm:f>
              </x14:cfvo>
              <x14:cfvo type="num">
                <xm:f>1</xm:f>
              </x14:cfvo>
              <x14:negativeFillColor rgb="FFFF0000"/>
              <x14:axisColor rgb="FF000000"/>
            </x14:dataBar>
          </x14:cfRule>
          <xm:sqref>D33</xm:sqref>
        </x14:conditionalFormatting>
        <x14:conditionalFormatting xmlns:xm="http://schemas.microsoft.com/office/excel/2006/main">
          <x14:cfRule type="dataBar" id="{8F7AD1B4-A85C-40F3-AFDC-8A3E818FA149}">
            <x14:dataBar minLength="0" maxLength="100" gradient="0">
              <x14:cfvo type="num">
                <xm:f>0</xm:f>
              </x14:cfvo>
              <x14:cfvo type="num">
                <xm:f>1</xm:f>
              </x14:cfvo>
              <x14:negativeFillColor rgb="FFFF0000"/>
              <x14:axisColor rgb="FF000000"/>
            </x14:dataBar>
          </x14:cfRule>
          <xm:sqref>D31:D32</xm:sqref>
        </x14:conditionalFormatting>
        <x14:conditionalFormatting xmlns:xm="http://schemas.microsoft.com/office/excel/2006/main">
          <x14:cfRule type="dataBar" id="{0F272D1D-29C9-44F1-8BBD-9055070C8AE0}">
            <x14:dataBar minLength="0" maxLength="100" gradient="0">
              <x14:cfvo type="num">
                <xm:f>0</xm:f>
              </x14:cfvo>
              <x14:cfvo type="num">
                <xm:f>1</xm:f>
              </x14:cfvo>
              <x14:negativeFillColor rgb="FFFF0000"/>
              <x14:axisColor rgb="FF000000"/>
            </x14:dataBar>
          </x14:cfRule>
          <xm:sqref>D30</xm:sqref>
        </x14:conditionalFormatting>
        <x14:conditionalFormatting xmlns:xm="http://schemas.microsoft.com/office/excel/2006/main">
          <x14:cfRule type="dataBar" id="{CA4B4B32-1060-46DC-BE81-3A0AA194BE1B}">
            <x14:dataBar minLength="0" maxLength="100" gradient="0">
              <x14:cfvo type="num">
                <xm:f>0</xm:f>
              </x14:cfvo>
              <x14:cfvo type="num">
                <xm:f>1</xm:f>
              </x14:cfvo>
              <x14:negativeFillColor rgb="FFFF0000"/>
              <x14:axisColor rgb="FF000000"/>
            </x14:dataBar>
          </x14:cfRule>
          <xm:sqref>D40</xm:sqref>
        </x14:conditionalFormatting>
        <x14:conditionalFormatting xmlns:xm="http://schemas.microsoft.com/office/excel/2006/main">
          <x14:cfRule type="dataBar" id="{E0C84256-2C1D-421B-9CBB-E5462A20ADE8}">
            <x14:dataBar minLength="0" maxLength="100" gradient="0">
              <x14:cfvo type="num">
                <xm:f>0</xm:f>
              </x14:cfvo>
              <x14:cfvo type="num">
                <xm:f>1</xm:f>
              </x14:cfvo>
              <x14:negativeFillColor rgb="FFFF0000"/>
              <x14:axisColor rgb="FF000000"/>
            </x14:dataBar>
          </x14:cfRule>
          <xm:sqref>D44:D48 D53</xm:sqref>
        </x14:conditionalFormatting>
        <x14:conditionalFormatting xmlns:xm="http://schemas.microsoft.com/office/excel/2006/main">
          <x14:cfRule type="dataBar" id="{7B54416B-61BA-42A7-A03E-FCE137E4CCA6}">
            <x14:dataBar minLength="0" maxLength="100" gradient="0">
              <x14:cfvo type="num">
                <xm:f>0</xm:f>
              </x14:cfvo>
              <x14:cfvo type="num">
                <xm:f>1</xm:f>
              </x14:cfvo>
              <x14:negativeFillColor rgb="FFFF0000"/>
              <x14:axisColor rgb="FF000000"/>
            </x14:dataBar>
          </x14:cfRule>
          <xm:sqref>D50</xm:sqref>
        </x14:conditionalFormatting>
        <x14:conditionalFormatting xmlns:xm="http://schemas.microsoft.com/office/excel/2006/main">
          <x14:cfRule type="dataBar" id="{7BBFF9C5-1BF3-428F-8350-92CAE95BFB31}">
            <x14:dataBar minLength="0" maxLength="100" gradient="0">
              <x14:cfvo type="num">
                <xm:f>0</xm:f>
              </x14:cfvo>
              <x14:cfvo type="num">
                <xm:f>1</xm:f>
              </x14:cfvo>
              <x14:negativeFillColor rgb="FFFF0000"/>
              <x14:axisColor rgb="FF000000"/>
            </x14:dataBar>
          </x14:cfRule>
          <xm:sqref>D54:D58</xm:sqref>
        </x14:conditionalFormatting>
        <x14:conditionalFormatting xmlns:xm="http://schemas.microsoft.com/office/excel/2006/main">
          <x14:cfRule type="dataBar" id="{3CA4EA70-2BF9-47B1-BEB8-3C7A3D2F2145}">
            <x14:dataBar minLength="0" maxLength="100" gradient="0">
              <x14:cfvo type="num">
                <xm:f>0</xm:f>
              </x14:cfvo>
              <x14:cfvo type="num">
                <xm:f>1</xm:f>
              </x14:cfvo>
              <x14:negativeFillColor rgb="FFFF0000"/>
              <x14:axisColor rgb="FF000000"/>
            </x14:dataBar>
          </x14:cfRule>
          <xm:sqref>D41:D42</xm:sqref>
        </x14:conditionalFormatting>
        <x14:conditionalFormatting xmlns:xm="http://schemas.microsoft.com/office/excel/2006/main">
          <x14:cfRule type="dataBar" id="{EE7A08AE-07EB-4005-832F-8F4C4EECA5E4}">
            <x14:dataBar minLength="0" maxLength="100" gradient="0">
              <x14:cfvo type="num">
                <xm:f>0</xm:f>
              </x14:cfvo>
              <x14:cfvo type="num">
                <xm:f>1</xm:f>
              </x14:cfvo>
              <x14:negativeFillColor rgb="FFFF0000"/>
              <x14:axisColor rgb="FF000000"/>
            </x14:dataBar>
          </x14:cfRule>
          <xm:sqref>D39</xm:sqref>
        </x14:conditionalFormatting>
        <x14:conditionalFormatting xmlns:xm="http://schemas.microsoft.com/office/excel/2006/main">
          <x14:cfRule type="dataBar" id="{F3B836F6-EA57-4A10-9B8A-C572D9641C50}">
            <x14:dataBar minLength="0" maxLength="100" gradient="0">
              <x14:cfvo type="num">
                <xm:f>0</xm:f>
              </x14:cfvo>
              <x14:cfvo type="num">
                <xm:f>1</xm:f>
              </x14:cfvo>
              <x14:negativeFillColor rgb="FFFF0000"/>
              <x14:axisColor rgb="FF000000"/>
            </x14:dataBar>
          </x14:cfRule>
          <xm:sqref>D49</xm:sqref>
        </x14:conditionalFormatting>
        <x14:conditionalFormatting xmlns:xm="http://schemas.microsoft.com/office/excel/2006/main">
          <x14:cfRule type="dataBar" id="{22DEA8E4-5D9D-46AC-88B0-266079E48336}">
            <x14:dataBar minLength="0" maxLength="100" gradient="0">
              <x14:cfvo type="num">
                <xm:f>0</xm:f>
              </x14:cfvo>
              <x14:cfvo type="num">
                <xm:f>1</xm:f>
              </x14:cfvo>
              <x14:negativeFillColor rgb="FFFF0000"/>
              <x14:axisColor rgb="FF000000"/>
            </x14:dataBar>
          </x14:cfRule>
          <xm:sqref>D51:D52</xm:sqref>
        </x14:conditionalFormatting>
        <x14:conditionalFormatting xmlns:xm="http://schemas.microsoft.com/office/excel/2006/main">
          <x14:cfRule type="dataBar" id="{BC58B9EE-2A43-450B-83BB-558A35D1D94C}">
            <x14:dataBar minLength="0" maxLength="100" gradient="0">
              <x14:cfvo type="num">
                <xm:f>0</xm:f>
              </x14:cfvo>
              <x14:cfvo type="num">
                <xm:f>1</xm:f>
              </x14:cfvo>
              <x14:negativeFillColor rgb="FFFF0000"/>
              <x14:axisColor rgb="FF000000"/>
            </x14:dataBar>
          </x14:cfRule>
          <xm:sqref>D61</xm:sqref>
        </x14:conditionalFormatting>
        <x14:conditionalFormatting xmlns:xm="http://schemas.microsoft.com/office/excel/2006/main">
          <x14:cfRule type="dataBar" id="{2F6F33A5-8868-403E-84F3-353938830FFC}">
            <x14:dataBar minLength="0" maxLength="100" gradient="0">
              <x14:cfvo type="num">
                <xm:f>0</xm:f>
              </x14:cfvo>
              <x14:cfvo type="num">
                <xm:f>1</xm:f>
              </x14:cfvo>
              <x14:negativeFillColor rgb="FFFF0000"/>
              <x14:axisColor rgb="FF000000"/>
            </x14:dataBar>
          </x14:cfRule>
          <xm:sqref>D60</xm:sqref>
        </x14:conditionalFormatting>
        <x14:conditionalFormatting xmlns:xm="http://schemas.microsoft.com/office/excel/2006/main">
          <x14:cfRule type="dataBar" id="{E26A6B43-474F-43B8-94CE-9D16EFAE6110}">
            <x14:dataBar minLength="0" maxLength="100" gradient="0">
              <x14:cfvo type="num">
                <xm:f>0</xm:f>
              </x14:cfvo>
              <x14:cfvo type="num">
                <xm:f>1</xm:f>
              </x14:cfvo>
              <x14:negativeFillColor rgb="FFFF0000"/>
              <x14:axisColor rgb="FF000000"/>
            </x14:dataBar>
          </x14:cfRule>
          <xm:sqref>D59</xm:sqref>
        </x14:conditionalFormatting>
        <x14:conditionalFormatting xmlns:xm="http://schemas.microsoft.com/office/excel/2006/main">
          <x14:cfRule type="dataBar" id="{609E7580-1630-4160-9BDB-E28349CF4842}">
            <x14:dataBar minLength="0" maxLength="100" gradient="0">
              <x14:cfvo type="num">
                <xm:f>0</xm:f>
              </x14:cfvo>
              <x14:cfvo type="num">
                <xm:f>1</xm:f>
              </x14:cfvo>
              <x14:negativeFillColor rgb="FFFF0000"/>
              <x14:axisColor rgb="FF000000"/>
            </x14:dataBar>
          </x14:cfRule>
          <xm:sqref>D71:D72</xm:sqref>
        </x14:conditionalFormatting>
        <x14:conditionalFormatting xmlns:xm="http://schemas.microsoft.com/office/excel/2006/main">
          <x14:cfRule type="dataBar" id="{6D160D0C-6BDD-4F14-B955-D9607411B6D7}">
            <x14:dataBar minLength="0" maxLength="100" gradient="0">
              <x14:cfvo type="num">
                <xm:f>0</xm:f>
              </x14:cfvo>
              <x14:cfvo type="num">
                <xm:f>1</xm:f>
              </x14:cfvo>
              <x14:negativeFillColor rgb="FFFF0000"/>
              <x14:axisColor rgb="FF000000"/>
            </x14:dataBar>
          </x14:cfRule>
          <xm:sqref>D110:D114 D116</xm:sqref>
        </x14:conditionalFormatting>
        <x14:conditionalFormatting xmlns:xm="http://schemas.microsoft.com/office/excel/2006/main">
          <x14:cfRule type="dataBar" id="{03C20B62-405D-4638-8BB7-3ABCE9E668C9}">
            <x14:dataBar minLength="0" maxLength="100" gradient="0">
              <x14:cfvo type="num">
                <xm:f>0</xm:f>
              </x14:cfvo>
              <x14:cfvo type="num">
                <xm:f>1</xm:f>
              </x14:cfvo>
              <x14:negativeFillColor rgb="FFFF0000"/>
              <x14:axisColor rgb="FF000000"/>
            </x14:dataBar>
          </x14:cfRule>
          <xm:sqref>D126:D130 D132</xm:sqref>
        </x14:conditionalFormatting>
        <x14:conditionalFormatting xmlns:xm="http://schemas.microsoft.com/office/excel/2006/main">
          <x14:cfRule type="dataBar" id="{DD299EDA-F3B2-4879-A688-0367EFB949EB}">
            <x14:dataBar minLength="0" maxLength="100" gradient="0">
              <x14:cfvo type="num">
                <xm:f>0</xm:f>
              </x14:cfvo>
              <x14:cfvo type="num">
                <xm:f>1</xm:f>
              </x14:cfvo>
              <x14:negativeFillColor rgb="FFFF0000"/>
              <x14:axisColor rgb="FF000000"/>
            </x14:dataBar>
          </x14:cfRule>
          <xm:sqref>D79</xm:sqref>
        </x14:conditionalFormatting>
        <x14:conditionalFormatting xmlns:xm="http://schemas.microsoft.com/office/excel/2006/main">
          <x14:cfRule type="dataBar" id="{CBB9D2C4-D926-46BE-9470-554B3784463E}">
            <x14:dataBar minLength="0" maxLength="100" gradient="0">
              <x14:cfvo type="num">
                <xm:f>0</xm:f>
              </x14:cfvo>
              <x14:cfvo type="num">
                <xm:f>1</xm:f>
              </x14:cfvo>
              <x14:negativeFillColor rgb="FFFF0000"/>
              <x14:axisColor rgb="FF000000"/>
            </x14:dataBar>
          </x14:cfRule>
          <xm:sqref>D81</xm:sqref>
        </x14:conditionalFormatting>
        <x14:conditionalFormatting xmlns:xm="http://schemas.microsoft.com/office/excel/2006/main">
          <x14:cfRule type="dataBar" id="{D84E46BF-D55F-4901-982C-415052F205AB}">
            <x14:dataBar minLength="0" maxLength="100" gradient="0">
              <x14:cfvo type="num">
                <xm:f>0</xm:f>
              </x14:cfvo>
              <x14:cfvo type="num">
                <xm:f>1</xm:f>
              </x14:cfvo>
              <x14:negativeFillColor rgb="FFFF0000"/>
              <x14:axisColor rgb="FF000000"/>
            </x14:dataBar>
          </x14:cfRule>
          <xm:sqref>D80</xm:sqref>
        </x14:conditionalFormatting>
        <x14:conditionalFormatting xmlns:xm="http://schemas.microsoft.com/office/excel/2006/main">
          <x14:cfRule type="dataBar" id="{A43B27E0-5D48-4F32-8DB9-368E20690611}">
            <x14:dataBar minLength="0" maxLength="100" gradient="0">
              <x14:cfvo type="num">
                <xm:f>0</xm:f>
              </x14:cfvo>
              <x14:cfvo type="num">
                <xm:f>1</xm:f>
              </x14:cfvo>
              <x14:negativeFillColor rgb="FFFF0000"/>
              <x14:axisColor rgb="FF000000"/>
            </x14:dataBar>
          </x14:cfRule>
          <xm:sqref>D83</xm:sqref>
        </x14:conditionalFormatting>
        <x14:conditionalFormatting xmlns:xm="http://schemas.microsoft.com/office/excel/2006/main">
          <x14:cfRule type="dataBar" id="{B4D9F802-7FD8-4B76-AA99-0A9B8B111B7B}">
            <x14:dataBar minLength="0" maxLength="100" gradient="0">
              <x14:cfvo type="num">
                <xm:f>0</xm:f>
              </x14:cfvo>
              <x14:cfvo type="num">
                <xm:f>1</xm:f>
              </x14:cfvo>
              <x14:negativeFillColor rgb="FFFF0000"/>
              <x14:axisColor rgb="FF000000"/>
            </x14:dataBar>
          </x14:cfRule>
          <xm:sqref>D82</xm:sqref>
        </x14:conditionalFormatting>
        <x14:conditionalFormatting xmlns:xm="http://schemas.microsoft.com/office/excel/2006/main">
          <x14:cfRule type="dataBar" id="{B8E17F8F-09D1-40B1-AADF-FE07C3599080}">
            <x14:dataBar minLength="0" maxLength="100" gradient="0">
              <x14:cfvo type="num">
                <xm:f>0</xm:f>
              </x14:cfvo>
              <x14:cfvo type="num">
                <xm:f>1</xm:f>
              </x14:cfvo>
              <x14:negativeFillColor rgb="FFFF0000"/>
              <x14:axisColor rgb="FF000000"/>
            </x14:dataBar>
          </x14:cfRule>
          <xm:sqref>D93</xm:sqref>
        </x14:conditionalFormatting>
        <x14:conditionalFormatting xmlns:xm="http://schemas.microsoft.com/office/excel/2006/main">
          <x14:cfRule type="dataBar" id="{2807E1A6-0A61-44D4-8577-130FF8F0553C}">
            <x14:dataBar minLength="0" maxLength="100" gradient="0">
              <x14:cfvo type="num">
                <xm:f>0</xm:f>
              </x14:cfvo>
              <x14:cfvo type="num">
                <xm:f>1</xm:f>
              </x14:cfvo>
              <x14:negativeFillColor rgb="FFFF0000"/>
              <x14:axisColor rgb="FF000000"/>
            </x14:dataBar>
          </x14:cfRule>
          <xm:sqref>D95</xm:sqref>
        </x14:conditionalFormatting>
        <x14:conditionalFormatting xmlns:xm="http://schemas.microsoft.com/office/excel/2006/main">
          <x14:cfRule type="dataBar" id="{6A4CB0A3-3A2B-4A8C-8F9D-2178B43DFC9C}">
            <x14:dataBar minLength="0" maxLength="100" gradient="0">
              <x14:cfvo type="num">
                <xm:f>0</xm:f>
              </x14:cfvo>
              <x14:cfvo type="num">
                <xm:f>1</xm:f>
              </x14:cfvo>
              <x14:negativeFillColor rgb="FFFF0000"/>
              <x14:axisColor rgb="FF000000"/>
            </x14:dataBar>
          </x14:cfRule>
          <xm:sqref>D94</xm:sqref>
        </x14:conditionalFormatting>
        <x14:conditionalFormatting xmlns:xm="http://schemas.microsoft.com/office/excel/2006/main">
          <x14:cfRule type="dataBar" id="{CC79C690-5BD7-492C-9BF3-C4B9563F07E5}">
            <x14:dataBar minLength="0" maxLength="100" gradient="0">
              <x14:cfvo type="num">
                <xm:f>0</xm:f>
              </x14:cfvo>
              <x14:cfvo type="num">
                <xm:f>1</xm:f>
              </x14:cfvo>
              <x14:negativeFillColor rgb="FFFF0000"/>
              <x14:axisColor rgb="FF000000"/>
            </x14:dataBar>
          </x14:cfRule>
          <xm:sqref>D107</xm:sqref>
        </x14:conditionalFormatting>
        <x14:conditionalFormatting xmlns:xm="http://schemas.microsoft.com/office/excel/2006/main">
          <x14:cfRule type="dataBar" id="{F9AC7451-BE64-4312-BEDB-72EBCEF1C516}">
            <x14:dataBar minLength="0" maxLength="100" gradient="0">
              <x14:cfvo type="num">
                <xm:f>0</xm:f>
              </x14:cfvo>
              <x14:cfvo type="num">
                <xm:f>1</xm:f>
              </x14:cfvo>
              <x14:negativeFillColor rgb="FFFF0000"/>
              <x14:axisColor rgb="FF000000"/>
            </x14:dataBar>
          </x14:cfRule>
          <xm:sqref>D108</xm:sqref>
        </x14:conditionalFormatting>
        <x14:conditionalFormatting xmlns:xm="http://schemas.microsoft.com/office/excel/2006/main">
          <x14:cfRule type="dataBar" id="{D0342EA3-791E-4B78-B826-673DE5DF52F8}">
            <x14:dataBar minLength="0" maxLength="100" gradient="0">
              <x14:cfvo type="num">
                <xm:f>0</xm:f>
              </x14:cfvo>
              <x14:cfvo type="num">
                <xm:f>1</xm:f>
              </x14:cfvo>
              <x14:negativeFillColor rgb="FFFF0000"/>
              <x14:axisColor rgb="FF000000"/>
            </x14:dataBar>
          </x14:cfRule>
          <xm:sqref>D109</xm:sqref>
        </x14:conditionalFormatting>
        <x14:conditionalFormatting xmlns:xm="http://schemas.microsoft.com/office/excel/2006/main">
          <x14:cfRule type="dataBar" id="{C2CDAF8C-8D0B-48F3-AE5E-341534FFB2C5}">
            <x14:dataBar minLength="0" maxLength="100" gradient="0">
              <x14:cfvo type="num">
                <xm:f>0</xm:f>
              </x14:cfvo>
              <x14:cfvo type="num">
                <xm:f>1</xm:f>
              </x14:cfvo>
              <x14:negativeFillColor rgb="FFFF0000"/>
              <x14:axisColor rgb="FF000000"/>
            </x14:dataBar>
          </x14:cfRule>
          <xm:sqref>D120</xm:sqref>
        </x14:conditionalFormatting>
        <x14:conditionalFormatting xmlns:xm="http://schemas.microsoft.com/office/excel/2006/main">
          <x14:cfRule type="dataBar" id="{ADE4C67B-7257-49FD-9621-FF1B62025864}">
            <x14:dataBar minLength="0" maxLength="100" gradient="0">
              <x14:cfvo type="num">
                <xm:f>0</xm:f>
              </x14:cfvo>
              <x14:cfvo type="num">
                <xm:f>1</xm:f>
              </x14:cfvo>
              <x14:negativeFillColor rgb="FFFF0000"/>
              <x14:axisColor rgb="FF000000"/>
            </x14:dataBar>
          </x14:cfRule>
          <xm:sqref>D119</xm:sqref>
        </x14:conditionalFormatting>
        <x14:conditionalFormatting xmlns:xm="http://schemas.microsoft.com/office/excel/2006/main">
          <x14:cfRule type="dataBar" id="{1EF08CF8-0B2F-4661-A794-DD4E67D7605C}">
            <x14:dataBar minLength="0" maxLength="100" gradient="0">
              <x14:cfvo type="num">
                <xm:f>0</xm:f>
              </x14:cfvo>
              <x14:cfvo type="num">
                <xm:f>1</xm:f>
              </x14:cfvo>
              <x14:negativeFillColor rgb="FFFF0000"/>
              <x14:axisColor rgb="FF000000"/>
            </x14:dataBar>
          </x14:cfRule>
          <xm:sqref>D118</xm:sqref>
        </x14:conditionalFormatting>
        <x14:conditionalFormatting xmlns:xm="http://schemas.microsoft.com/office/excel/2006/main">
          <x14:cfRule type="dataBar" id="{C216737C-E107-4DF2-ACF4-928C5DDC0C1B}">
            <x14:dataBar minLength="0" maxLength="100" gradient="0">
              <x14:cfvo type="num">
                <xm:f>0</xm:f>
              </x14:cfvo>
              <x14:cfvo type="num">
                <xm:f>1</xm:f>
              </x14:cfvo>
              <x14:negativeFillColor rgb="FFFF0000"/>
              <x14:axisColor rgb="FF000000"/>
            </x14:dataBar>
          </x14:cfRule>
          <xm:sqref>D122</xm:sqref>
        </x14:conditionalFormatting>
        <x14:conditionalFormatting xmlns:xm="http://schemas.microsoft.com/office/excel/2006/main">
          <x14:cfRule type="dataBar" id="{816D7A25-C14A-485F-A381-443618552D53}">
            <x14:dataBar minLength="0" maxLength="100" gradient="0">
              <x14:cfvo type="num">
                <xm:f>0</xm:f>
              </x14:cfvo>
              <x14:cfvo type="num">
                <xm:f>1</xm:f>
              </x14:cfvo>
              <x14:negativeFillColor rgb="FFFF0000"/>
              <x14:axisColor rgb="FF000000"/>
            </x14:dataBar>
          </x14:cfRule>
          <xm:sqref>D117</xm:sqref>
        </x14:conditionalFormatting>
        <x14:conditionalFormatting xmlns:xm="http://schemas.microsoft.com/office/excel/2006/main">
          <x14:cfRule type="dataBar" id="{83921C04-EED3-4717-9053-AC88B78BA15A}">
            <x14:dataBar minLength="0" maxLength="100" gradient="0">
              <x14:cfvo type="num">
                <xm:f>0</xm:f>
              </x14:cfvo>
              <x14:cfvo type="num">
                <xm:f>1</xm:f>
              </x14:cfvo>
              <x14:negativeFillColor rgb="FFFF0000"/>
              <x14:axisColor rgb="FF000000"/>
            </x14:dataBar>
          </x14:cfRule>
          <xm:sqref>D133</xm:sqref>
        </x14:conditionalFormatting>
        <x14:conditionalFormatting xmlns:xm="http://schemas.microsoft.com/office/excel/2006/main">
          <x14:cfRule type="dataBar" id="{89994852-004F-46BF-84AB-B900322A514F}">
            <x14:dataBar minLength="0" maxLength="100" gradient="0">
              <x14:cfvo type="num">
                <xm:f>0</xm:f>
              </x14:cfvo>
              <x14:cfvo type="num">
                <xm:f>1</xm:f>
              </x14:cfvo>
              <x14:negativeFillColor rgb="FFFF0000"/>
              <x14:axisColor rgb="FF000000"/>
            </x14:dataBar>
          </x14:cfRule>
          <xm:sqref>D135</xm:sqref>
        </x14:conditionalFormatting>
        <x14:conditionalFormatting xmlns:xm="http://schemas.microsoft.com/office/excel/2006/main">
          <x14:cfRule type="dataBar" id="{1C0AA46C-28C2-4CA3-96DC-4FF05438ED08}">
            <x14:dataBar minLength="0" maxLength="100" gradient="0">
              <x14:cfvo type="num">
                <xm:f>0</xm:f>
              </x14:cfvo>
              <x14:cfvo type="num">
                <xm:f>1</xm:f>
              </x14:cfvo>
              <x14:negativeFillColor rgb="FFFF0000"/>
              <x14:axisColor rgb="FF000000"/>
            </x14:dataBar>
          </x14:cfRule>
          <xm:sqref>D121</xm:sqref>
        </x14:conditionalFormatting>
        <x14:conditionalFormatting xmlns:xm="http://schemas.microsoft.com/office/excel/2006/main">
          <x14:cfRule type="dataBar" id="{7AD98BDD-4BC9-4D26-9FCC-C3754340F877}">
            <x14:dataBar minLength="0" maxLength="100" gradient="0">
              <x14:cfvo type="num">
                <xm:f>0</xm:f>
              </x14:cfvo>
              <x14:cfvo type="num">
                <xm:f>1</xm:f>
              </x14:cfvo>
              <x14:negativeFillColor rgb="FFFF0000"/>
              <x14:axisColor rgb="FF000000"/>
            </x14:dataBar>
          </x14:cfRule>
          <xm:sqref>D137</xm:sqref>
        </x14:conditionalFormatting>
        <x14:conditionalFormatting xmlns:xm="http://schemas.microsoft.com/office/excel/2006/main">
          <x14:cfRule type="dataBar" id="{E150108C-2699-4906-8E24-BB445FA0DCD3}">
            <x14:dataBar minLength="0" maxLength="100" gradient="0">
              <x14:cfvo type="num">
                <xm:f>0</xm:f>
              </x14:cfvo>
              <x14:cfvo type="num">
                <xm:f>1</xm:f>
              </x14:cfvo>
              <x14:negativeFillColor rgb="FFFF0000"/>
              <x14:axisColor rgb="FF000000"/>
            </x14:dataBar>
          </x14:cfRule>
          <xm:sqref>D134</xm:sqref>
        </x14:conditionalFormatting>
        <x14:conditionalFormatting xmlns:xm="http://schemas.microsoft.com/office/excel/2006/main">
          <x14:cfRule type="dataBar" id="{BBABD573-DA26-4014-9131-B09885DFFBFB}">
            <x14:dataBar minLength="0" maxLength="100" gradient="0">
              <x14:cfvo type="num">
                <xm:f>0</xm:f>
              </x14:cfvo>
              <x14:cfvo type="num">
                <xm:f>1</xm:f>
              </x14:cfvo>
              <x14:negativeFillColor rgb="FFFF0000"/>
              <x14:axisColor rgb="FF000000"/>
            </x14:dataBar>
          </x14:cfRule>
          <xm:sqref>D136</xm:sqref>
        </x14:conditionalFormatting>
        <x14:conditionalFormatting xmlns:xm="http://schemas.microsoft.com/office/excel/2006/main">
          <x14:cfRule type="dataBar" id="{C401F49A-FD39-49D5-A834-DF46D7F0BA66}">
            <x14:dataBar minLength="0" maxLength="100" gradient="0">
              <x14:cfvo type="num">
                <xm:f>0</xm:f>
              </x14:cfvo>
              <x14:cfvo type="num">
                <xm:f>1</xm:f>
              </x14:cfvo>
              <x14:negativeFillColor rgb="FFFF0000"/>
              <x14:axisColor rgb="FF000000"/>
            </x14:dataBar>
          </x14:cfRule>
          <xm:sqref>D139</xm:sqref>
        </x14:conditionalFormatting>
        <x14:conditionalFormatting xmlns:xm="http://schemas.microsoft.com/office/excel/2006/main">
          <x14:cfRule type="dataBar" id="{5E158394-04AA-4229-92EC-33BFEB3795C9}">
            <x14:dataBar minLength="0" maxLength="100" gradient="0">
              <x14:cfvo type="num">
                <xm:f>0</xm:f>
              </x14:cfvo>
              <x14:cfvo type="num">
                <xm:f>1</xm:f>
              </x14:cfvo>
              <x14:negativeFillColor rgb="FFFF0000"/>
              <x14:axisColor rgb="FF000000"/>
            </x14:dataBar>
          </x14:cfRule>
          <xm:sqref>D85</xm:sqref>
        </x14:conditionalFormatting>
        <x14:conditionalFormatting xmlns:xm="http://schemas.microsoft.com/office/excel/2006/main">
          <x14:cfRule type="dataBar" id="{7A022125-17C1-4539-8829-D9529FFB9D97}">
            <x14:dataBar minLength="0" maxLength="100" gradient="0">
              <x14:cfvo type="num">
                <xm:f>0</xm:f>
              </x14:cfvo>
              <x14:cfvo type="num">
                <xm:f>1</xm:f>
              </x14:cfvo>
              <x14:negativeFillColor rgb="FFFF0000"/>
              <x14:axisColor rgb="FF000000"/>
            </x14:dataBar>
          </x14:cfRule>
          <xm:sqref>D84</xm:sqref>
        </x14:conditionalFormatting>
        <x14:conditionalFormatting xmlns:xm="http://schemas.microsoft.com/office/excel/2006/main">
          <x14:cfRule type="dataBar" id="{1BD2872E-74CF-4F1F-9A9C-3AC8649EB956}">
            <x14:dataBar minLength="0" maxLength="100" gradient="0">
              <x14:cfvo type="num">
                <xm:f>0</xm:f>
              </x14:cfvo>
              <x14:cfvo type="num">
                <xm:f>1</xm:f>
              </x14:cfvo>
              <x14:negativeFillColor rgb="FFFF0000"/>
              <x14:axisColor rgb="FF000000"/>
            </x14:dataBar>
          </x14:cfRule>
          <xm:sqref>D98</xm:sqref>
        </x14:conditionalFormatting>
        <x14:conditionalFormatting xmlns:xm="http://schemas.microsoft.com/office/excel/2006/main">
          <x14:cfRule type="dataBar" id="{08D6C050-87C5-4474-8CCC-BE63A5D286AC}">
            <x14:dataBar minLength="0" maxLength="100" gradient="0">
              <x14:cfvo type="num">
                <xm:f>0</xm:f>
              </x14:cfvo>
              <x14:cfvo type="num">
                <xm:f>1</xm:f>
              </x14:cfvo>
              <x14:negativeFillColor rgb="FFFF0000"/>
              <x14:axisColor rgb="FF000000"/>
            </x14:dataBar>
          </x14:cfRule>
          <xm:sqref>D138</xm:sqref>
        </x14:conditionalFormatting>
        <x14:conditionalFormatting xmlns:xm="http://schemas.microsoft.com/office/excel/2006/main">
          <x14:cfRule type="dataBar" id="{ED1926CC-1532-4A84-B0BA-2DB0D4E0095C}">
            <x14:dataBar minLength="0" maxLength="100" gradient="0">
              <x14:cfvo type="num">
                <xm:f>0</xm:f>
              </x14:cfvo>
              <x14:cfvo type="num">
                <xm:f>1</xm:f>
              </x14:cfvo>
              <x14:negativeFillColor rgb="FFFF0000"/>
              <x14:axisColor rgb="FF000000"/>
            </x14:dataBar>
          </x14:cfRule>
          <xm:sqref>D156</xm:sqref>
        </x14:conditionalFormatting>
        <x14:conditionalFormatting xmlns:xm="http://schemas.microsoft.com/office/excel/2006/main">
          <x14:cfRule type="dataBar" id="{25A56586-746B-469B-B079-FDB21545F88B}">
            <x14:dataBar minLength="0" maxLength="100" gradient="0">
              <x14:cfvo type="num">
                <xm:f>0</xm:f>
              </x14:cfvo>
              <x14:cfvo type="num">
                <xm:f>1</xm:f>
              </x14:cfvo>
              <x14:negativeFillColor rgb="FFFF0000"/>
              <x14:axisColor rgb="FF000000"/>
            </x14:dataBar>
          </x14:cfRule>
          <xm:sqref>D101</xm:sqref>
        </x14:conditionalFormatting>
        <x14:conditionalFormatting xmlns:xm="http://schemas.microsoft.com/office/excel/2006/main">
          <x14:cfRule type="dataBar" id="{430D9F49-F71B-4692-9DA5-BAFBF57C4292}">
            <x14:dataBar minLength="0" maxLength="100" gradient="0">
              <x14:cfvo type="num">
                <xm:f>0</xm:f>
              </x14:cfvo>
              <x14:cfvo type="num">
                <xm:f>1</xm:f>
              </x14:cfvo>
              <x14:negativeFillColor rgb="FFFF0000"/>
              <x14:axisColor rgb="FF000000"/>
            </x14:dataBar>
          </x14:cfRule>
          <xm:sqref>D97</xm:sqref>
        </x14:conditionalFormatting>
        <x14:conditionalFormatting xmlns:xm="http://schemas.microsoft.com/office/excel/2006/main">
          <x14:cfRule type="dataBar" id="{13583A4A-3C87-445E-B0DA-650A323AE129}">
            <x14:dataBar minLength="0" maxLength="100" gradient="0">
              <x14:cfvo type="num">
                <xm:f>0</xm:f>
              </x14:cfvo>
              <x14:cfvo type="num">
                <xm:f>1</xm:f>
              </x14:cfvo>
              <x14:negativeFillColor rgb="FFFF0000"/>
              <x14:axisColor rgb="FF000000"/>
            </x14:dataBar>
          </x14:cfRule>
          <xm:sqref>D99:D100</xm:sqref>
        </x14:conditionalFormatting>
        <x14:conditionalFormatting xmlns:xm="http://schemas.microsoft.com/office/excel/2006/main">
          <x14:cfRule type="dataBar" id="{F84D6790-6AA4-4F4B-B6FC-6F1E58D8A5D7}">
            <x14:dataBar minLength="0" maxLength="100" gradient="0">
              <x14:cfvo type="num">
                <xm:f>0</xm:f>
              </x14:cfvo>
              <x14:cfvo type="num">
                <xm:f>1</xm:f>
              </x14:cfvo>
              <x14:negativeFillColor rgb="FFFF0000"/>
              <x14:axisColor rgb="FF000000"/>
            </x14:dataBar>
          </x14:cfRule>
          <xm:sqref>D77</xm:sqref>
        </x14:conditionalFormatting>
        <x14:conditionalFormatting xmlns:xm="http://schemas.microsoft.com/office/excel/2006/main">
          <x14:cfRule type="dataBar" id="{4495B782-7793-4166-A157-1C4D4F251B22}">
            <x14:dataBar minLength="0" maxLength="100" gradient="0">
              <x14:cfvo type="num">
                <xm:f>0</xm:f>
              </x14:cfvo>
              <x14:cfvo type="num">
                <xm:f>1</xm:f>
              </x14:cfvo>
              <x14:negativeFillColor rgb="FFFF0000"/>
              <x14:axisColor rgb="FF000000"/>
            </x14:dataBar>
          </x14:cfRule>
          <xm:sqref>D96</xm:sqref>
        </x14:conditionalFormatting>
        <x14:conditionalFormatting xmlns:xm="http://schemas.microsoft.com/office/excel/2006/main">
          <x14:cfRule type="dataBar" id="{1D18E9AF-9A26-427E-A30C-FB1108421F07}">
            <x14:dataBar minLength="0" maxLength="100" gradient="0">
              <x14:cfvo type="num">
                <xm:f>0</xm:f>
              </x14:cfvo>
              <x14:cfvo type="num">
                <xm:f>1</xm:f>
              </x14:cfvo>
              <x14:negativeFillColor rgb="FFFF0000"/>
              <x14:axisColor rgb="FF000000"/>
            </x14:dataBar>
          </x14:cfRule>
          <xm:sqref>D124</xm:sqref>
        </x14:conditionalFormatting>
        <x14:conditionalFormatting xmlns:xm="http://schemas.microsoft.com/office/excel/2006/main">
          <x14:cfRule type="dataBar" id="{12B1EAED-C206-4461-A99B-A244FA769D07}">
            <x14:dataBar minLength="0" maxLength="100" gradient="0">
              <x14:cfvo type="num">
                <xm:f>0</xm:f>
              </x14:cfvo>
              <x14:cfvo type="num">
                <xm:f>1</xm:f>
              </x14:cfvo>
              <x14:negativeFillColor rgb="FFFF0000"/>
              <x14:axisColor rgb="FF000000"/>
            </x14:dataBar>
          </x14:cfRule>
          <xm:sqref>D123</xm:sqref>
        </x14:conditionalFormatting>
        <x14:conditionalFormatting xmlns:xm="http://schemas.microsoft.com/office/excel/2006/main">
          <x14:cfRule type="dataBar" id="{022E271F-BCDD-4C05-96AC-9E3E50BE552E}">
            <x14:dataBar minLength="0" maxLength="100" gradient="0">
              <x14:cfvo type="num">
                <xm:f>0</xm:f>
              </x14:cfvo>
              <x14:cfvo type="num">
                <xm:f>1</xm:f>
              </x14:cfvo>
              <x14:negativeFillColor rgb="FFFF0000"/>
              <x14:axisColor rgb="FF000000"/>
            </x14:dataBar>
          </x14:cfRule>
          <xm:sqref>D91</xm:sqref>
        </x14:conditionalFormatting>
        <x14:conditionalFormatting xmlns:xm="http://schemas.microsoft.com/office/excel/2006/main">
          <x14:cfRule type="dataBar" id="{6C2DFB18-B26F-48C3-B1D3-4208C9E5C4C7}">
            <x14:dataBar minLength="0" maxLength="100" gradient="0">
              <x14:cfvo type="num">
                <xm:f>0</xm:f>
              </x14:cfvo>
              <x14:cfvo type="num">
                <xm:f>1</xm:f>
              </x14:cfvo>
              <x14:negativeFillColor rgb="FFFF0000"/>
              <x14:axisColor rgb="FF000000"/>
            </x14:dataBar>
          </x14:cfRule>
          <xm:sqref>D143:D144</xm:sqref>
        </x14:conditionalFormatting>
        <x14:conditionalFormatting xmlns:xm="http://schemas.microsoft.com/office/excel/2006/main">
          <x14:cfRule type="dataBar" id="{22AB1E59-64A8-4AA5-B337-4436EEE42732}">
            <x14:dataBar minLength="0" maxLength="100" gradient="0">
              <x14:cfvo type="num">
                <xm:f>0</xm:f>
              </x14:cfvo>
              <x14:cfvo type="num">
                <xm:f>1</xm:f>
              </x14:cfvo>
              <x14:negativeFillColor rgb="FFFF0000"/>
              <x14:axisColor rgb="FF000000"/>
            </x14:dataBar>
          </x14:cfRule>
          <xm:sqref>D115</xm:sqref>
        </x14:conditionalFormatting>
        <x14:conditionalFormatting xmlns:xm="http://schemas.microsoft.com/office/excel/2006/main">
          <x14:cfRule type="dataBar" id="{90D054A9-18CF-4621-9D0C-83E62BA0388C}">
            <x14:dataBar minLength="0" maxLength="100" gradient="0">
              <x14:cfvo type="num">
                <xm:f>0</xm:f>
              </x14:cfvo>
              <x14:cfvo type="num">
                <xm:f>1</xm:f>
              </x14:cfvo>
              <x14:negativeFillColor rgb="FFFF0000"/>
              <x14:axisColor rgb="FF000000"/>
            </x14:dataBar>
          </x14:cfRule>
          <xm:sqref>D125</xm:sqref>
        </x14:conditionalFormatting>
        <x14:conditionalFormatting xmlns:xm="http://schemas.microsoft.com/office/excel/2006/main">
          <x14:cfRule type="dataBar" id="{E6E69CB6-73DF-4087-BCD9-19CFA3338DE1}">
            <x14:dataBar minLength="0" maxLength="100" gradient="0">
              <x14:cfvo type="num">
                <xm:f>0</xm:f>
              </x14:cfvo>
              <x14:cfvo type="num">
                <xm:f>1</xm:f>
              </x14:cfvo>
              <x14:negativeFillColor rgb="FFFF0000"/>
              <x14:axisColor rgb="FF000000"/>
            </x14:dataBar>
          </x14:cfRule>
          <xm:sqref>D141</xm:sqref>
        </x14:conditionalFormatting>
        <x14:conditionalFormatting xmlns:xm="http://schemas.microsoft.com/office/excel/2006/main">
          <x14:cfRule type="dataBar" id="{79E1256F-9F72-44E5-B7CC-2F42788A1CC9}">
            <x14:dataBar minLength="0" maxLength="100" gradient="0">
              <x14:cfvo type="num">
                <xm:f>0</xm:f>
              </x14:cfvo>
              <x14:cfvo type="num">
                <xm:f>1</xm:f>
              </x14:cfvo>
              <x14:negativeFillColor rgb="FFFF0000"/>
              <x14:axisColor rgb="FF000000"/>
            </x14:dataBar>
          </x14:cfRule>
          <xm:sqref>D162</xm:sqref>
        </x14:conditionalFormatting>
        <x14:conditionalFormatting xmlns:xm="http://schemas.microsoft.com/office/excel/2006/main">
          <x14:cfRule type="dataBar" id="{49E5FAE2-62F5-4095-AA13-BBF750A3F22B}">
            <x14:dataBar minLength="0" maxLength="100" gradient="0">
              <x14:cfvo type="num">
                <xm:f>0</xm:f>
              </x14:cfvo>
              <x14:cfvo type="num">
                <xm:f>1</xm:f>
              </x14:cfvo>
              <x14:negativeFillColor rgb="FFFF0000"/>
              <x14:axisColor rgb="FF000000"/>
            </x14:dataBar>
          </x14:cfRule>
          <xm:sqref>D161</xm:sqref>
        </x14:conditionalFormatting>
        <x14:conditionalFormatting xmlns:xm="http://schemas.microsoft.com/office/excel/2006/main">
          <x14:cfRule type="dataBar" id="{47347AE2-A096-43E1-AFEE-6F10DCAA755F}">
            <x14:dataBar minLength="0" maxLength="100" gradient="0">
              <x14:cfvo type="num">
                <xm:f>0</xm:f>
              </x14:cfvo>
              <x14:cfvo type="num">
                <xm:f>1</xm:f>
              </x14:cfvo>
              <x14:negativeFillColor rgb="FFFF0000"/>
              <x14:axisColor rgb="FF000000"/>
            </x14:dataBar>
          </x14:cfRule>
          <xm:sqref>D163</xm:sqref>
        </x14:conditionalFormatting>
        <x14:conditionalFormatting xmlns:xm="http://schemas.microsoft.com/office/excel/2006/main">
          <x14:cfRule type="dataBar" id="{9C62CD90-9178-456B-A6D8-F647C90A704E}">
            <x14:dataBar minLength="0" maxLength="100" gradient="0">
              <x14:cfvo type="num">
                <xm:f>0</xm:f>
              </x14:cfvo>
              <x14:cfvo type="num">
                <xm:f>1</xm:f>
              </x14:cfvo>
              <x14:negativeFillColor rgb="FFFF0000"/>
              <x14:axisColor rgb="FF000000"/>
            </x14:dataBar>
          </x14:cfRule>
          <xm:sqref>D140</xm:sqref>
        </x14:conditionalFormatting>
        <x14:conditionalFormatting xmlns:xm="http://schemas.microsoft.com/office/excel/2006/main">
          <x14:cfRule type="dataBar" id="{02EE9B88-C1AB-49F0-BA87-D17A27B13B6C}">
            <x14:dataBar minLength="0" maxLength="100" gradient="0">
              <x14:cfvo type="num">
                <xm:f>0</xm:f>
              </x14:cfvo>
              <x14:cfvo type="num">
                <xm:f>1</xm:f>
              </x14:cfvo>
              <x14:negativeFillColor rgb="FFFF0000"/>
              <x14:axisColor rgb="FF000000"/>
            </x14:dataBar>
          </x14:cfRule>
          <xm:sqref>D142</xm:sqref>
        </x14:conditionalFormatting>
        <x14:conditionalFormatting xmlns:xm="http://schemas.microsoft.com/office/excel/2006/main">
          <x14:cfRule type="dataBar" id="{CF08DC9B-3472-457B-BE6B-929AFE6C7CAE}">
            <x14:dataBar minLength="0" maxLength="100" gradient="0">
              <x14:cfvo type="num">
                <xm:f>0</xm:f>
              </x14:cfvo>
              <x14:cfvo type="num">
                <xm:f>1</xm:f>
              </x14:cfvo>
              <x14:negativeFillColor rgb="FFFF0000"/>
              <x14:axisColor rgb="FF000000"/>
            </x14:dataBar>
          </x14:cfRule>
          <xm:sqref>D159</xm:sqref>
        </x14:conditionalFormatting>
        <x14:conditionalFormatting xmlns:xm="http://schemas.microsoft.com/office/excel/2006/main">
          <x14:cfRule type="dataBar" id="{58C2B338-3A61-4B59-9959-4580736ADC90}">
            <x14:dataBar minLength="0" maxLength="100" gradient="0">
              <x14:cfvo type="num">
                <xm:f>0</xm:f>
              </x14:cfvo>
              <x14:cfvo type="num">
                <xm:f>1</xm:f>
              </x14:cfvo>
              <x14:negativeFillColor rgb="FFFF0000"/>
              <x14:axisColor rgb="FF000000"/>
            </x14:dataBar>
          </x14:cfRule>
          <xm:sqref>D145</xm:sqref>
        </x14:conditionalFormatting>
        <x14:conditionalFormatting xmlns:xm="http://schemas.microsoft.com/office/excel/2006/main">
          <x14:cfRule type="dataBar" id="{D8EC6786-34B2-4385-8A05-12A2D7F7263B}">
            <x14:dataBar minLength="0" maxLength="100" gradient="0">
              <x14:cfvo type="num">
                <xm:f>0</xm:f>
              </x14:cfvo>
              <x14:cfvo type="num">
                <xm:f>1</xm:f>
              </x14:cfvo>
              <x14:negativeFillColor rgb="FFFF0000"/>
              <x14:axisColor rgb="FF000000"/>
            </x14:dataBar>
          </x14:cfRule>
          <xm:sqref>D157</xm:sqref>
        </x14:conditionalFormatting>
        <x14:conditionalFormatting xmlns:xm="http://schemas.microsoft.com/office/excel/2006/main">
          <x14:cfRule type="dataBar" id="{8D04DBA8-D162-4B6F-9070-FF6297F6861E}">
            <x14:dataBar minLength="0" maxLength="100" gradient="0">
              <x14:cfvo type="num">
                <xm:f>0</xm:f>
              </x14:cfvo>
              <x14:cfvo type="num">
                <xm:f>1</xm:f>
              </x14:cfvo>
              <x14:negativeFillColor rgb="FFFF0000"/>
              <x14:axisColor rgb="FF000000"/>
            </x14:dataBar>
          </x14:cfRule>
          <xm:sqref>D148</xm:sqref>
        </x14:conditionalFormatting>
        <x14:conditionalFormatting xmlns:xm="http://schemas.microsoft.com/office/excel/2006/main">
          <x14:cfRule type="dataBar" id="{14B6EC1F-D2E8-4489-846A-2295E4F8135C}">
            <x14:dataBar minLength="0" maxLength="100" gradient="0">
              <x14:cfvo type="num">
                <xm:f>0</xm:f>
              </x14:cfvo>
              <x14:cfvo type="num">
                <xm:f>1</xm:f>
              </x14:cfvo>
              <x14:negativeFillColor rgb="FFFF0000"/>
              <x14:axisColor rgb="FF000000"/>
            </x14:dataBar>
          </x14:cfRule>
          <xm:sqref>D166 D177</xm:sqref>
        </x14:conditionalFormatting>
        <x14:conditionalFormatting xmlns:xm="http://schemas.microsoft.com/office/excel/2006/main">
          <x14:cfRule type="dataBar" id="{6590B45E-F355-4AE1-9D96-7BCA4A5690A8}">
            <x14:dataBar minLength="0" maxLength="100" gradient="0">
              <x14:cfvo type="num">
                <xm:f>0</xm:f>
              </x14:cfvo>
              <x14:cfvo type="num">
                <xm:f>1</xm:f>
              </x14:cfvo>
              <x14:negativeFillColor rgb="FFFF0000"/>
              <x14:axisColor rgb="FF000000"/>
            </x14:dataBar>
          </x14:cfRule>
          <xm:sqref>D164</xm:sqref>
        </x14:conditionalFormatting>
        <x14:conditionalFormatting xmlns:xm="http://schemas.microsoft.com/office/excel/2006/main">
          <x14:cfRule type="dataBar" id="{D192A3D7-3568-4FE9-8F98-6726723F1E12}">
            <x14:dataBar minLength="0" maxLength="100" gradient="0">
              <x14:cfvo type="num">
                <xm:f>0</xm:f>
              </x14:cfvo>
              <x14:cfvo type="num">
                <xm:f>1</xm:f>
              </x14:cfvo>
              <x14:negativeFillColor rgb="FFFF0000"/>
              <x14:axisColor rgb="FF000000"/>
            </x14:dataBar>
          </x14:cfRule>
          <xm:sqref>D173</xm:sqref>
        </x14:conditionalFormatting>
        <x14:conditionalFormatting xmlns:xm="http://schemas.microsoft.com/office/excel/2006/main">
          <x14:cfRule type="dataBar" id="{4B39CBE3-0B94-409F-8DD5-8A29DC5F1BF6}">
            <x14:dataBar minLength="0" maxLength="100" gradient="0">
              <x14:cfvo type="num">
                <xm:f>0</xm:f>
              </x14:cfvo>
              <x14:cfvo type="num">
                <xm:f>1</xm:f>
              </x14:cfvo>
              <x14:negativeFillColor rgb="FFFF0000"/>
              <x14:axisColor rgb="FF000000"/>
            </x14:dataBar>
          </x14:cfRule>
          <xm:sqref>D158</xm:sqref>
        </x14:conditionalFormatting>
        <x14:conditionalFormatting xmlns:xm="http://schemas.microsoft.com/office/excel/2006/main">
          <x14:cfRule type="dataBar" id="{C6D6B27B-6120-4C1E-B2D6-68F83B4F720F}">
            <x14:dataBar minLength="0" maxLength="100" gradient="0">
              <x14:cfvo type="num">
                <xm:f>0</xm:f>
              </x14:cfvo>
              <x14:cfvo type="num">
                <xm:f>1</xm:f>
              </x14:cfvo>
              <x14:negativeFillColor rgb="FFFF0000"/>
              <x14:axisColor rgb="FF000000"/>
            </x14:dataBar>
          </x14:cfRule>
          <xm:sqref>D175</xm:sqref>
        </x14:conditionalFormatting>
        <x14:conditionalFormatting xmlns:xm="http://schemas.microsoft.com/office/excel/2006/main">
          <x14:cfRule type="dataBar" id="{B0DD9FF5-10C0-4A51-906D-3ACD7439CF2A}">
            <x14:dataBar minLength="0" maxLength="100" gradient="0">
              <x14:cfvo type="num">
                <xm:f>0</xm:f>
              </x14:cfvo>
              <x14:cfvo type="num">
                <xm:f>1</xm:f>
              </x14:cfvo>
              <x14:negativeFillColor rgb="FFFF0000"/>
              <x14:axisColor rgb="FF000000"/>
            </x14:dataBar>
          </x14:cfRule>
          <xm:sqref>D174</xm:sqref>
        </x14:conditionalFormatting>
        <x14:conditionalFormatting xmlns:xm="http://schemas.microsoft.com/office/excel/2006/main">
          <x14:cfRule type="dataBar" id="{D5316034-D023-4E6A-9D47-0EE3B54FB7EA}">
            <x14:dataBar minLength="0" maxLength="100" gradient="0">
              <x14:cfvo type="num">
                <xm:f>0</xm:f>
              </x14:cfvo>
              <x14:cfvo type="num">
                <xm:f>1</xm:f>
              </x14:cfvo>
              <x14:negativeFillColor rgb="FFFF0000"/>
              <x14:axisColor rgb="FF000000"/>
            </x14:dataBar>
          </x14:cfRule>
          <xm:sqref>D160</xm:sqref>
        </x14:conditionalFormatting>
        <x14:conditionalFormatting xmlns:xm="http://schemas.microsoft.com/office/excel/2006/main">
          <x14:cfRule type="dataBar" id="{8E1E4764-CCF7-4231-BD9D-3C99BD055E4E}">
            <x14:dataBar minLength="0" maxLength="100" gradient="0">
              <x14:cfvo type="num">
                <xm:f>0</xm:f>
              </x14:cfvo>
              <x14:cfvo type="num">
                <xm:f>1</xm:f>
              </x14:cfvo>
              <x14:negativeFillColor rgb="FFFF0000"/>
              <x14:axisColor rgb="FF000000"/>
            </x14:dataBar>
          </x14:cfRule>
          <xm:sqref>D169</xm:sqref>
        </x14:conditionalFormatting>
        <x14:conditionalFormatting xmlns:xm="http://schemas.microsoft.com/office/excel/2006/main">
          <x14:cfRule type="dataBar" id="{C428B1DA-89E2-45CC-89E5-E32E01E4BC24}">
            <x14:dataBar minLength="0" maxLength="100" gradient="0">
              <x14:cfvo type="num">
                <xm:f>0</xm:f>
              </x14:cfvo>
              <x14:cfvo type="num">
                <xm:f>1</xm:f>
              </x14:cfvo>
              <x14:negativeFillColor rgb="FFFF0000"/>
              <x14:axisColor rgb="FF000000"/>
            </x14:dataBar>
          </x14:cfRule>
          <xm:sqref>D172</xm:sqref>
        </x14:conditionalFormatting>
        <x14:conditionalFormatting xmlns:xm="http://schemas.microsoft.com/office/excel/2006/main">
          <x14:cfRule type="dataBar" id="{E213BCC4-B2B1-49F4-AF08-920EDA6757A1}">
            <x14:dataBar minLength="0" maxLength="100" gradient="0">
              <x14:cfvo type="num">
                <xm:f>0</xm:f>
              </x14:cfvo>
              <x14:cfvo type="num">
                <xm:f>1</xm:f>
              </x14:cfvo>
              <x14:negativeFillColor rgb="FFFF0000"/>
              <x14:axisColor rgb="FF000000"/>
            </x14:dataBar>
          </x14:cfRule>
          <xm:sqref>D176</xm:sqref>
        </x14:conditionalFormatting>
        <x14:conditionalFormatting xmlns:xm="http://schemas.microsoft.com/office/excel/2006/main">
          <x14:cfRule type="dataBar" id="{B077500C-1E3F-43CA-A284-496A01709B4F}">
            <x14:dataBar minLength="0" maxLength="100" gradient="0">
              <x14:cfvo type="num">
                <xm:f>0</xm:f>
              </x14:cfvo>
              <x14:cfvo type="num">
                <xm:f>1</xm:f>
              </x14:cfvo>
              <x14:negativeFillColor rgb="FFFF0000"/>
              <x14:axisColor rgb="FF000000"/>
            </x14:dataBar>
          </x14:cfRule>
          <xm:sqref>D168</xm:sqref>
        </x14:conditionalFormatting>
        <x14:conditionalFormatting xmlns:xm="http://schemas.microsoft.com/office/excel/2006/main">
          <x14:cfRule type="dataBar" id="{6D347134-7566-4599-9E72-E272B16FBD1A}">
            <x14:dataBar minLength="0" maxLength="100" gradient="0">
              <x14:cfvo type="num">
                <xm:f>0</xm:f>
              </x14:cfvo>
              <x14:cfvo type="num">
                <xm:f>1</xm:f>
              </x14:cfvo>
              <x14:negativeFillColor rgb="FFFF0000"/>
              <x14:axisColor rgb="FF000000"/>
            </x14:dataBar>
          </x14:cfRule>
          <xm:sqref>D171</xm:sqref>
        </x14:conditionalFormatting>
        <x14:conditionalFormatting xmlns:xm="http://schemas.microsoft.com/office/excel/2006/main">
          <x14:cfRule type="dataBar" id="{8F100124-C0C8-4F18-B26F-83DC33317AB8}">
            <x14:dataBar minLength="0" maxLength="100" gradient="0">
              <x14:cfvo type="num">
                <xm:f>0</xm:f>
              </x14:cfvo>
              <x14:cfvo type="num">
                <xm:f>1</xm:f>
              </x14:cfvo>
              <x14:negativeFillColor rgb="FFFF0000"/>
              <x14:axisColor rgb="FF000000"/>
            </x14:dataBar>
          </x14:cfRule>
          <xm:sqref>D180:D181</xm:sqref>
        </x14:conditionalFormatting>
        <x14:conditionalFormatting xmlns:xm="http://schemas.microsoft.com/office/excel/2006/main">
          <x14:cfRule type="dataBar" id="{E6884465-FD04-451D-8B65-BAD493C1A535}">
            <x14:dataBar minLength="0" maxLength="100" gradient="0">
              <x14:cfvo type="num">
                <xm:f>0</xm:f>
              </x14:cfvo>
              <x14:cfvo type="num">
                <xm:f>1</xm:f>
              </x14:cfvo>
              <x14:negativeFillColor rgb="FFFF0000"/>
              <x14:axisColor rgb="FF000000"/>
            </x14:dataBar>
          </x14:cfRule>
          <xm:sqref>D167</xm:sqref>
        </x14:conditionalFormatting>
        <x14:conditionalFormatting xmlns:xm="http://schemas.microsoft.com/office/excel/2006/main">
          <x14:cfRule type="dataBar" id="{03BCC3B7-9350-4CAD-936D-E4EAEFC08F8F}">
            <x14:dataBar minLength="0" maxLength="100" gradient="0">
              <x14:cfvo type="num">
                <xm:f>0</xm:f>
              </x14:cfvo>
              <x14:cfvo type="num">
                <xm:f>1</xm:f>
              </x14:cfvo>
              <x14:negativeFillColor rgb="FFFF0000"/>
              <x14:axisColor rgb="FF000000"/>
            </x14:dataBar>
          </x14:cfRule>
          <xm:sqref>D178</xm:sqref>
        </x14:conditionalFormatting>
        <x14:conditionalFormatting xmlns:xm="http://schemas.microsoft.com/office/excel/2006/main">
          <x14:cfRule type="dataBar" id="{6E0CD146-3F8F-4BCE-A593-2716F8629A7B}">
            <x14:dataBar minLength="0" maxLength="100" gradient="0">
              <x14:cfvo type="num">
                <xm:f>0</xm:f>
              </x14:cfvo>
              <x14:cfvo type="num">
                <xm:f>1</xm:f>
              </x14:cfvo>
              <x14:negativeFillColor rgb="FFFF0000"/>
              <x14:axisColor rgb="FF000000"/>
            </x14:dataBar>
          </x14:cfRule>
          <xm:sqref>D188</xm:sqref>
        </x14:conditionalFormatting>
        <x14:conditionalFormatting xmlns:xm="http://schemas.microsoft.com/office/excel/2006/main">
          <x14:cfRule type="dataBar" id="{979545AD-9CEE-426E-BA96-D71CA53B09C9}">
            <x14:dataBar minLength="0" maxLength="100" gradient="0">
              <x14:cfvo type="num">
                <xm:f>0</xm:f>
              </x14:cfvo>
              <x14:cfvo type="num">
                <xm:f>1</xm:f>
              </x14:cfvo>
              <x14:negativeFillColor rgb="FFFF0000"/>
              <x14:axisColor rgb="FF000000"/>
            </x14:dataBar>
          </x14:cfRule>
          <xm:sqref>D155</xm:sqref>
        </x14:conditionalFormatting>
        <x14:conditionalFormatting xmlns:xm="http://schemas.microsoft.com/office/excel/2006/main">
          <x14:cfRule type="dataBar" id="{1A609187-7DAF-4E96-B23B-4B66640E0010}">
            <x14:dataBar minLength="0" maxLength="100" gradient="0">
              <x14:cfvo type="num">
                <xm:f>0</xm:f>
              </x14:cfvo>
              <x14:cfvo type="num">
                <xm:f>1</xm:f>
              </x14:cfvo>
              <x14:negativeFillColor rgb="FFFF0000"/>
              <x14:axisColor rgb="FF000000"/>
            </x14:dataBar>
          </x14:cfRule>
          <xm:sqref>D182</xm:sqref>
        </x14:conditionalFormatting>
        <x14:conditionalFormatting xmlns:xm="http://schemas.microsoft.com/office/excel/2006/main">
          <x14:cfRule type="dataBar" id="{BE1E21CD-65DC-4A80-A029-4F4C569534DF}">
            <x14:dataBar minLength="0" maxLength="100" gradient="0">
              <x14:cfvo type="num">
                <xm:f>0</xm:f>
              </x14:cfvo>
              <x14:cfvo type="num">
                <xm:f>1</xm:f>
              </x14:cfvo>
              <x14:negativeFillColor rgb="FFFF0000"/>
              <x14:axisColor rgb="FF000000"/>
            </x14:dataBar>
          </x14:cfRule>
          <xm:sqref>D170</xm:sqref>
        </x14:conditionalFormatting>
        <x14:conditionalFormatting xmlns:xm="http://schemas.microsoft.com/office/excel/2006/main">
          <x14:cfRule type="dataBar" id="{9E421326-CB58-4783-BB70-5AAAB871D2CC}">
            <x14:dataBar minLength="0" maxLength="100" gradient="0">
              <x14:cfvo type="num">
                <xm:f>0</xm:f>
              </x14:cfvo>
              <x14:cfvo type="num">
                <xm:f>1</xm:f>
              </x14:cfvo>
              <x14:negativeFillColor rgb="FFFF0000"/>
              <x14:axisColor rgb="FF000000"/>
            </x14:dataBar>
          </x14:cfRule>
          <xm:sqref>D179</xm:sqref>
        </x14:conditionalFormatting>
        <x14:conditionalFormatting xmlns:xm="http://schemas.microsoft.com/office/excel/2006/main">
          <x14:cfRule type="dataBar" id="{0386C8CA-A5B8-46BC-8B6A-8FAD1E7722EE}">
            <x14:dataBar minLength="0" maxLength="100" gradient="0">
              <x14:cfvo type="num">
                <xm:f>0</xm:f>
              </x14:cfvo>
              <x14:cfvo type="num">
                <xm:f>1</xm:f>
              </x14:cfvo>
              <x14:negativeFillColor rgb="FFFF0000"/>
              <x14:axisColor rgb="FF000000"/>
            </x14:dataBar>
          </x14:cfRule>
          <xm:sqref>D153:D154</xm:sqref>
        </x14:conditionalFormatting>
        <x14:conditionalFormatting xmlns:xm="http://schemas.microsoft.com/office/excel/2006/main">
          <x14:cfRule type="dataBar" id="{E718E544-EBB6-4ADA-B279-2E7056E84988}">
            <x14:dataBar minLength="0" maxLength="100" gradient="0">
              <x14:cfvo type="num">
                <xm:f>0</xm:f>
              </x14:cfvo>
              <x14:cfvo type="num">
                <xm:f>1</xm:f>
              </x14:cfvo>
              <x14:negativeFillColor rgb="FFFF0000"/>
              <x14:axisColor rgb="FF000000"/>
            </x14:dataBar>
          </x14:cfRule>
          <xm:sqref>D183</xm:sqref>
        </x14:conditionalFormatting>
        <x14:conditionalFormatting xmlns:xm="http://schemas.microsoft.com/office/excel/2006/main">
          <x14:cfRule type="dataBar" id="{AC75545B-4392-4858-97CD-39C257CF8529}">
            <x14:dataBar minLength="0" maxLength="100" gradient="0">
              <x14:cfvo type="num">
                <xm:f>0</xm:f>
              </x14:cfvo>
              <x14:cfvo type="num">
                <xm:f>1</xm:f>
              </x14:cfvo>
              <x14:negativeFillColor rgb="FFFF0000"/>
              <x14:axisColor rgb="FF000000"/>
            </x14:dataBar>
          </x14:cfRule>
          <xm:sqref>D186</xm:sqref>
        </x14:conditionalFormatting>
        <x14:conditionalFormatting xmlns:xm="http://schemas.microsoft.com/office/excel/2006/main">
          <x14:cfRule type="dataBar" id="{89FAB5E0-2108-4429-ADE9-277BED097EF8}">
            <x14:dataBar minLength="0" maxLength="100" gradient="0">
              <x14:cfvo type="num">
                <xm:f>0</xm:f>
              </x14:cfvo>
              <x14:cfvo type="num">
                <xm:f>1</xm:f>
              </x14:cfvo>
              <x14:negativeFillColor rgb="FFFF0000"/>
              <x14:axisColor rgb="FF000000"/>
            </x14:dataBar>
          </x14:cfRule>
          <xm:sqref>D187</xm:sqref>
        </x14:conditionalFormatting>
        <x14:conditionalFormatting xmlns:xm="http://schemas.microsoft.com/office/excel/2006/main">
          <x14:cfRule type="dataBar" id="{32FEB325-6C15-47CC-B00F-90498600BF14}">
            <x14:dataBar minLength="0" maxLength="100" gradient="0">
              <x14:cfvo type="num">
                <xm:f>0</xm:f>
              </x14:cfvo>
              <x14:cfvo type="num">
                <xm:f>1</xm:f>
              </x14:cfvo>
              <x14:negativeFillColor rgb="FFFF0000"/>
              <x14:axisColor rgb="FF000000"/>
            </x14:dataBar>
          </x14:cfRule>
          <xm:sqref>D149:D150</xm:sqref>
        </x14:conditionalFormatting>
        <x14:conditionalFormatting xmlns:xm="http://schemas.microsoft.com/office/excel/2006/main">
          <x14:cfRule type="dataBar" id="{5F71FA3D-712B-4434-B38D-C1B19E2D7B38}">
            <x14:dataBar minLength="0" maxLength="100" gradient="0">
              <x14:cfvo type="num">
                <xm:f>0</xm:f>
              </x14:cfvo>
              <x14:cfvo type="num">
                <xm:f>1</xm:f>
              </x14:cfvo>
              <x14:negativeFillColor rgb="FFFF0000"/>
              <x14:axisColor rgb="FF000000"/>
            </x14:dataBar>
          </x14:cfRule>
          <xm:sqref>D146:D147</xm:sqref>
        </x14:conditionalFormatting>
        <x14:conditionalFormatting xmlns:xm="http://schemas.microsoft.com/office/excel/2006/main">
          <x14:cfRule type="dataBar" id="{8061F629-BF41-4E84-9EB6-B59EDFFC851E}">
            <x14:dataBar minLength="0" maxLength="100" gradient="0">
              <x14:cfvo type="num">
                <xm:f>0</xm:f>
              </x14:cfvo>
              <x14:cfvo type="num">
                <xm:f>1</xm:f>
              </x14:cfvo>
              <x14:negativeFillColor rgb="FFFF0000"/>
              <x14:axisColor rgb="FF000000"/>
            </x14:dataBar>
          </x14:cfRule>
          <xm:sqref>D184</xm:sqref>
        </x14:conditionalFormatting>
        <x14:conditionalFormatting xmlns:xm="http://schemas.microsoft.com/office/excel/2006/main">
          <x14:cfRule type="dataBar" id="{9FEABB9B-FBF0-46EF-96D8-6143537CBC4F}">
            <x14:dataBar minLength="0" maxLength="100" gradient="0">
              <x14:cfvo type="num">
                <xm:f>0</xm:f>
              </x14:cfvo>
              <x14:cfvo type="num">
                <xm:f>1</xm:f>
              </x14:cfvo>
              <x14:negativeFillColor rgb="FFFF0000"/>
              <x14:axisColor rgb="FF000000"/>
            </x14:dataBar>
          </x14:cfRule>
          <xm:sqref>D131</xm:sqref>
        </x14:conditionalFormatting>
        <x14:conditionalFormatting xmlns:xm="http://schemas.microsoft.com/office/excel/2006/main">
          <x14:cfRule type="dataBar" id="{B6CBB774-4123-49F2-A9A5-922EAC0AF218}">
            <x14:dataBar minLength="0" maxLength="100" gradient="0">
              <x14:cfvo type="num">
                <xm:f>0</xm:f>
              </x14:cfvo>
              <x14:cfvo type="num">
                <xm:f>1</xm:f>
              </x14:cfvo>
              <x14:negativeFillColor rgb="FFFF0000"/>
              <x14:axisColor rgb="FF000000"/>
            </x14:dataBar>
          </x14:cfRule>
          <xm:sqref>D189</xm:sqref>
        </x14:conditionalFormatting>
        <x14:conditionalFormatting xmlns:xm="http://schemas.microsoft.com/office/excel/2006/main">
          <x14:cfRule type="dataBar" id="{040D8C34-3DED-4B61-A72E-A5E17A0CFBFB}">
            <x14:dataBar minLength="0" maxLength="100" gradient="0">
              <x14:cfvo type="num">
                <xm:f>0</xm:f>
              </x14:cfvo>
              <x14:cfvo type="num">
                <xm:f>1</xm:f>
              </x14:cfvo>
              <x14:negativeFillColor rgb="FFFF0000"/>
              <x14:axisColor rgb="FF000000"/>
            </x14:dataBar>
          </x14:cfRule>
          <xm:sqref>D185</xm:sqref>
        </x14:conditionalFormatting>
        <x14:conditionalFormatting xmlns:xm="http://schemas.microsoft.com/office/excel/2006/main">
          <x14:cfRule type="dataBar" id="{1B7A0EAE-B56E-4D8D-95EF-ABDF945C9A81}">
            <x14:dataBar minLength="0" maxLength="100" gradient="0">
              <x14:cfvo type="num">
                <xm:f>0</xm:f>
              </x14:cfvo>
              <x14:cfvo type="num">
                <xm:f>1</xm:f>
              </x14:cfvo>
              <x14:negativeFillColor rgb="FFFF0000"/>
              <x14:axisColor rgb="FF000000"/>
            </x14:dataBar>
          </x14:cfRule>
          <xm:sqref>D266</xm:sqref>
        </x14:conditionalFormatting>
        <x14:conditionalFormatting xmlns:xm="http://schemas.microsoft.com/office/excel/2006/main">
          <x14:cfRule type="dataBar" id="{9731B36A-B970-44EB-8B6C-47F03A127823}">
            <x14:dataBar minLength="0" maxLength="100" gradient="0">
              <x14:cfvo type="num">
                <xm:f>0</xm:f>
              </x14:cfvo>
              <x14:cfvo type="num">
                <xm:f>1</xm:f>
              </x14:cfvo>
              <x14:negativeFillColor rgb="FFFF0000"/>
              <x14:axisColor rgb="FF000000"/>
            </x14:dataBar>
          </x14:cfRule>
          <xm:sqref>D152</xm:sqref>
        </x14:conditionalFormatting>
        <x14:conditionalFormatting xmlns:xm="http://schemas.microsoft.com/office/excel/2006/main">
          <x14:cfRule type="dataBar" id="{F8480D96-D622-4872-ADD6-2C6732D572AA}">
            <x14:dataBar minLength="0" maxLength="100" gradient="0">
              <x14:cfvo type="num">
                <xm:f>0</xm:f>
              </x14:cfvo>
              <x14:cfvo type="num">
                <xm:f>1</xm:f>
              </x14:cfvo>
              <x14:negativeFillColor rgb="FFFF0000"/>
              <x14:axisColor rgb="FF000000"/>
            </x14:dataBar>
          </x14:cfRule>
          <xm:sqref>D151</xm:sqref>
        </x14:conditionalFormatting>
        <x14:conditionalFormatting xmlns:xm="http://schemas.microsoft.com/office/excel/2006/main">
          <x14:cfRule type="dataBar" id="{6F23D896-5231-4D58-B33C-A0C3522DDA1B}">
            <x14:dataBar minLength="0" maxLength="100" gradient="0">
              <x14:cfvo type="num">
                <xm:f>0</xm:f>
              </x14:cfvo>
              <x14:cfvo type="num">
                <xm:f>1</xm:f>
              </x14:cfvo>
              <x14:negativeFillColor rgb="FFFF0000"/>
              <x14:axisColor rgb="FF000000"/>
            </x14:dataBar>
          </x14:cfRule>
          <xm:sqref>D267</xm:sqref>
        </x14:conditionalFormatting>
        <x14:conditionalFormatting xmlns:xm="http://schemas.microsoft.com/office/excel/2006/main">
          <x14:cfRule type="dataBar" id="{D6E9EA06-992C-4891-95B9-A824A248B582}">
            <x14:dataBar minLength="0" maxLength="100" gradient="0">
              <x14:cfvo type="num">
                <xm:f>0</xm:f>
              </x14:cfvo>
              <x14:cfvo type="num">
                <xm:f>1</xm:f>
              </x14:cfvo>
              <x14:negativeFillColor rgb="FFFF0000"/>
              <x14:axisColor rgb="FF000000"/>
            </x14:dataBar>
          </x14:cfRule>
          <xm:sqref>D165</xm:sqref>
        </x14:conditionalFormatting>
        <x14:conditionalFormatting xmlns:xm="http://schemas.microsoft.com/office/excel/2006/main">
          <x14:cfRule type="dataBar" id="{A7055CDC-EBB6-4AF0-8905-232157B2561D}">
            <x14:dataBar minLength="0" maxLength="100" gradient="0">
              <x14:cfvo type="num">
                <xm:f>0</xm:f>
              </x14:cfvo>
              <x14:cfvo type="num">
                <xm:f>1</xm:f>
              </x14:cfvo>
              <x14:negativeFillColor rgb="FFFF0000"/>
              <x14:axisColor rgb="FF000000"/>
            </x14:dataBar>
          </x14:cfRule>
          <xm:sqref>D268</xm:sqref>
        </x14:conditionalFormatting>
        <x14:conditionalFormatting xmlns:xm="http://schemas.microsoft.com/office/excel/2006/main">
          <x14:cfRule type="dataBar" id="{6F0BD6AC-AE85-4DFC-B641-BDEBE82E5D3A}">
            <x14:dataBar minLength="0" maxLength="100" gradient="0">
              <x14:cfvo type="num">
                <xm:f>0</xm:f>
              </x14:cfvo>
              <x14:cfvo type="num">
                <xm:f>1</xm:f>
              </x14:cfvo>
              <x14:negativeFillColor rgb="FFFF0000"/>
              <x14:axisColor rgb="FF000000"/>
            </x14:dataBar>
          </x14:cfRule>
          <xm:sqref>D210</xm:sqref>
        </x14:conditionalFormatting>
        <x14:conditionalFormatting xmlns:xm="http://schemas.microsoft.com/office/excel/2006/main">
          <x14:cfRule type="dataBar" id="{97E9857C-397A-4882-892F-17ECF02AB43A}">
            <x14:dataBar minLength="0" maxLength="100" gradient="0">
              <x14:cfvo type="num">
                <xm:f>0</xm:f>
              </x14:cfvo>
              <x14:cfvo type="num">
                <xm:f>1</xm:f>
              </x14:cfvo>
              <x14:negativeFillColor rgb="FFFF0000"/>
              <x14:axisColor rgb="FF000000"/>
            </x14:dataBar>
          </x14:cfRule>
          <xm:sqref>D263</xm:sqref>
        </x14:conditionalFormatting>
        <x14:conditionalFormatting xmlns:xm="http://schemas.microsoft.com/office/excel/2006/main">
          <x14:cfRule type="dataBar" id="{D738A770-6B7E-45CA-AF71-EDD854DD9E63}">
            <x14:dataBar minLength="0" maxLength="100" gradient="0">
              <x14:cfvo type="num">
                <xm:f>0</xm:f>
              </x14:cfvo>
              <x14:cfvo type="num">
                <xm:f>1</xm:f>
              </x14:cfvo>
              <x14:negativeFillColor rgb="FFFF0000"/>
              <x14:axisColor rgb="FF000000"/>
            </x14:dataBar>
          </x14:cfRule>
          <xm:sqref>D264:D265</xm:sqref>
        </x14:conditionalFormatting>
        <x14:conditionalFormatting xmlns:xm="http://schemas.microsoft.com/office/excel/2006/main">
          <x14:cfRule type="dataBar" id="{29D8C703-BC0B-4693-8F79-7254EE6CBB88}">
            <x14:dataBar minLength="0" maxLength="100" gradient="0">
              <x14:cfvo type="num">
                <xm:f>0</xm:f>
              </x14:cfvo>
              <x14:cfvo type="num">
                <xm:f>1</xm:f>
              </x14:cfvo>
              <x14:negativeFillColor rgb="FFFF0000"/>
              <x14:axisColor rgb="FF000000"/>
            </x14:dataBar>
          </x14:cfRule>
          <xm:sqref>D274</xm:sqref>
        </x14:conditionalFormatting>
        <x14:conditionalFormatting xmlns:xm="http://schemas.microsoft.com/office/excel/2006/main">
          <x14:cfRule type="dataBar" id="{D237BB9E-B6B5-4C73-8C86-4A948A8DE3C8}">
            <x14:dataBar minLength="0" maxLength="100" gradient="0">
              <x14:cfvo type="num">
                <xm:f>0</xm:f>
              </x14:cfvo>
              <x14:cfvo type="num">
                <xm:f>1</xm:f>
              </x14:cfvo>
              <x14:negativeFillColor rgb="FFFF0000"/>
              <x14:axisColor rgb="FF000000"/>
            </x14:dataBar>
          </x14:cfRule>
          <xm:sqref>D206</xm:sqref>
        </x14:conditionalFormatting>
        <x14:conditionalFormatting xmlns:xm="http://schemas.microsoft.com/office/excel/2006/main">
          <x14:cfRule type="dataBar" id="{31EA3830-7032-4209-B0E4-167481325F37}">
            <x14:dataBar minLength="0" maxLength="100" gradient="0">
              <x14:cfvo type="num">
                <xm:f>0</xm:f>
              </x14:cfvo>
              <x14:cfvo type="num">
                <xm:f>1</xm:f>
              </x14:cfvo>
              <x14:negativeFillColor rgb="FFFF0000"/>
              <x14:axisColor rgb="FF000000"/>
            </x14:dataBar>
          </x14:cfRule>
          <xm:sqref>D190</xm:sqref>
        </x14:conditionalFormatting>
        <x14:conditionalFormatting xmlns:xm="http://schemas.microsoft.com/office/excel/2006/main">
          <x14:cfRule type="dataBar" id="{DD42BA0D-0E47-49DB-A48A-DF505AE32433}">
            <x14:dataBar minLength="0" maxLength="100" gradient="0">
              <x14:cfvo type="num">
                <xm:f>0</xm:f>
              </x14:cfvo>
              <x14:cfvo type="num">
                <xm:f>1</xm:f>
              </x14:cfvo>
              <x14:negativeFillColor rgb="FFFF0000"/>
              <x14:axisColor rgb="FF000000"/>
            </x14:dataBar>
          </x14:cfRule>
          <xm:sqref>D209</xm:sqref>
        </x14:conditionalFormatting>
        <x14:conditionalFormatting xmlns:xm="http://schemas.microsoft.com/office/excel/2006/main">
          <x14:cfRule type="dataBar" id="{CAB2F76A-1302-48DE-B48B-64A094F1BCFA}">
            <x14:dataBar minLength="0" maxLength="100" gradient="0">
              <x14:cfvo type="num">
                <xm:f>0</xm:f>
              </x14:cfvo>
              <x14:cfvo type="num">
                <xm:f>1</xm:f>
              </x14:cfvo>
              <x14:negativeFillColor rgb="FFFF0000"/>
              <x14:axisColor rgb="FF000000"/>
            </x14:dataBar>
          </x14:cfRule>
          <xm:sqref>D207</xm:sqref>
        </x14:conditionalFormatting>
        <x14:conditionalFormatting xmlns:xm="http://schemas.microsoft.com/office/excel/2006/main">
          <x14:cfRule type="dataBar" id="{137EE670-672E-4A60-9C75-EFA8BB1ED020}">
            <x14:dataBar minLength="0" maxLength="100" gradient="0">
              <x14:cfvo type="num">
                <xm:f>0</xm:f>
              </x14:cfvo>
              <x14:cfvo type="num">
                <xm:f>1</xm:f>
              </x14:cfvo>
              <x14:negativeFillColor rgb="FFFF0000"/>
              <x14:axisColor rgb="FF000000"/>
            </x14:dataBar>
          </x14:cfRule>
          <xm:sqref>D273</xm:sqref>
        </x14:conditionalFormatting>
        <x14:conditionalFormatting xmlns:xm="http://schemas.microsoft.com/office/excel/2006/main">
          <x14:cfRule type="dataBar" id="{635A53CA-BE6E-41C5-A9EC-6501A46A2F76}">
            <x14:dataBar minLength="0" maxLength="100" gradient="0">
              <x14:cfvo type="num">
                <xm:f>0</xm:f>
              </x14:cfvo>
              <x14:cfvo type="num">
                <xm:f>1</xm:f>
              </x14:cfvo>
              <x14:negativeFillColor rgb="FFFF0000"/>
              <x14:axisColor rgb="FF000000"/>
            </x14:dataBar>
          </x14:cfRule>
          <xm:sqref>D269</xm:sqref>
        </x14:conditionalFormatting>
        <x14:conditionalFormatting xmlns:xm="http://schemas.microsoft.com/office/excel/2006/main">
          <x14:cfRule type="dataBar" id="{A93069EE-1EDA-4F7C-A616-396CEDCDD897}">
            <x14:dataBar minLength="0" maxLength="100" gradient="0">
              <x14:cfvo type="num">
                <xm:f>0</xm:f>
              </x14:cfvo>
              <x14:cfvo type="num">
                <xm:f>1</xm:f>
              </x14:cfvo>
              <x14:negativeFillColor rgb="FFFF0000"/>
              <x14:axisColor rgb="FF000000"/>
            </x14:dataBar>
          </x14:cfRule>
          <xm:sqref>D205</xm:sqref>
        </x14:conditionalFormatting>
        <x14:conditionalFormatting xmlns:xm="http://schemas.microsoft.com/office/excel/2006/main">
          <x14:cfRule type="dataBar" id="{41BB4CCB-219F-4C5C-B62A-15756A6BE509}">
            <x14:dataBar minLength="0" maxLength="100" gradient="0">
              <x14:cfvo type="num">
                <xm:f>0</xm:f>
              </x14:cfvo>
              <x14:cfvo type="num">
                <xm:f>1</xm:f>
              </x14:cfvo>
              <x14:negativeFillColor rgb="FFFF0000"/>
              <x14:axisColor rgb="FF000000"/>
            </x14:dataBar>
          </x14:cfRule>
          <xm:sqref>D204</xm:sqref>
        </x14:conditionalFormatting>
        <x14:conditionalFormatting xmlns:xm="http://schemas.microsoft.com/office/excel/2006/main">
          <x14:cfRule type="dataBar" id="{4B34C34A-146E-40EE-9017-C5BD6E75CC97}">
            <x14:dataBar minLength="0" maxLength="100" gradient="0">
              <x14:cfvo type="num">
                <xm:f>0</xm:f>
              </x14:cfvo>
              <x14:cfvo type="num">
                <xm:f>1</xm:f>
              </x14:cfvo>
              <x14:negativeFillColor rgb="FFFF0000"/>
              <x14:axisColor rgb="FF000000"/>
            </x14:dataBar>
          </x14:cfRule>
          <xm:sqref>D275</xm:sqref>
        </x14:conditionalFormatting>
        <x14:conditionalFormatting xmlns:xm="http://schemas.microsoft.com/office/excel/2006/main">
          <x14:cfRule type="dataBar" id="{025D4163-ACDE-4B71-93AF-22BAB71C1543}">
            <x14:dataBar minLength="0" maxLength="100" gradient="0">
              <x14:cfvo type="num">
                <xm:f>0</xm:f>
              </x14:cfvo>
              <x14:cfvo type="num">
                <xm:f>1</xm:f>
              </x14:cfvo>
              <x14:negativeFillColor rgb="FFFF0000"/>
              <x14:axisColor rgb="FF000000"/>
            </x14:dataBar>
          </x14:cfRule>
          <xm:sqref>D202</xm:sqref>
        </x14:conditionalFormatting>
        <x14:conditionalFormatting xmlns:xm="http://schemas.microsoft.com/office/excel/2006/main">
          <x14:cfRule type="dataBar" id="{A66614BD-0036-4E23-A0A6-430614FCD24D}">
            <x14:dataBar minLength="0" maxLength="100" gradient="0">
              <x14:cfvo type="num">
                <xm:f>0</xm:f>
              </x14:cfvo>
              <x14:cfvo type="num">
                <xm:f>1</xm:f>
              </x14:cfvo>
              <x14:negativeFillColor rgb="FFFF0000"/>
              <x14:axisColor rgb="FF000000"/>
            </x14:dataBar>
          </x14:cfRule>
          <xm:sqref>D200</xm:sqref>
        </x14:conditionalFormatting>
        <x14:conditionalFormatting xmlns:xm="http://schemas.microsoft.com/office/excel/2006/main">
          <x14:cfRule type="dataBar" id="{9704C80E-23E1-45AF-896E-F7D6DF870448}">
            <x14:dataBar minLength="0" maxLength="100" gradient="0">
              <x14:cfvo type="num">
                <xm:f>0</xm:f>
              </x14:cfvo>
              <x14:cfvo type="num">
                <xm:f>1</xm:f>
              </x14:cfvo>
              <x14:negativeFillColor rgb="FFFF0000"/>
              <x14:axisColor rgb="FF000000"/>
            </x14:dataBar>
          </x14:cfRule>
          <xm:sqref>D198</xm:sqref>
        </x14:conditionalFormatting>
        <x14:conditionalFormatting xmlns:xm="http://schemas.microsoft.com/office/excel/2006/main">
          <x14:cfRule type="dataBar" id="{D9E4D5D5-0A03-49FD-AFBD-87C86DE56A1B}">
            <x14:dataBar minLength="0" maxLength="100" gradient="0">
              <x14:cfvo type="num">
                <xm:f>0</xm:f>
              </x14:cfvo>
              <x14:cfvo type="num">
                <xm:f>1</xm:f>
              </x14:cfvo>
              <x14:negativeFillColor rgb="FFFF0000"/>
              <x14:axisColor rgb="FF000000"/>
            </x14:dataBar>
          </x14:cfRule>
          <xm:sqref>D203</xm:sqref>
        </x14:conditionalFormatting>
        <x14:conditionalFormatting xmlns:xm="http://schemas.microsoft.com/office/excel/2006/main">
          <x14:cfRule type="dataBar" id="{83251B7C-072F-4B23-963A-1308A73BFE85}">
            <x14:dataBar minLength="0" maxLength="100" gradient="0">
              <x14:cfvo type="num">
                <xm:f>0</xm:f>
              </x14:cfvo>
              <x14:cfvo type="num">
                <xm:f>1</xm:f>
              </x14:cfvo>
              <x14:negativeFillColor rgb="FFFF0000"/>
              <x14:axisColor rgb="FF000000"/>
            </x14:dataBar>
          </x14:cfRule>
          <xm:sqref>D208</xm:sqref>
        </x14:conditionalFormatting>
        <x14:conditionalFormatting xmlns:xm="http://schemas.microsoft.com/office/excel/2006/main">
          <x14:cfRule type="dataBar" id="{08367E91-5AAF-436B-BA82-E11EBA042847}">
            <x14:dataBar minLength="0" maxLength="100" gradient="0">
              <x14:cfvo type="num">
                <xm:f>0</xm:f>
              </x14:cfvo>
              <x14:cfvo type="num">
                <xm:f>1</xm:f>
              </x14:cfvo>
              <x14:negativeFillColor rgb="FFFF0000"/>
              <x14:axisColor rgb="FF000000"/>
            </x14:dataBar>
          </x14:cfRule>
          <xm:sqref>D243</xm:sqref>
        </x14:conditionalFormatting>
        <x14:conditionalFormatting xmlns:xm="http://schemas.microsoft.com/office/excel/2006/main">
          <x14:cfRule type="dataBar" id="{6C54D4C0-C59C-4D8D-9649-0B980780A33A}">
            <x14:dataBar minLength="0" maxLength="100" gradient="0">
              <x14:cfvo type="num">
                <xm:f>0</xm:f>
              </x14:cfvo>
              <x14:cfvo type="num">
                <xm:f>1</xm:f>
              </x14:cfvo>
              <x14:negativeFillColor rgb="FFFF0000"/>
              <x14:axisColor rgb="FF000000"/>
            </x14:dataBar>
          </x14:cfRule>
          <xm:sqref>D242</xm:sqref>
        </x14:conditionalFormatting>
        <x14:conditionalFormatting xmlns:xm="http://schemas.microsoft.com/office/excel/2006/main">
          <x14:cfRule type="dataBar" id="{C50E1BD0-1DE4-45BF-9304-C3C73B545F85}">
            <x14:dataBar minLength="0" maxLength="100" gradient="0">
              <x14:cfvo type="num">
                <xm:f>0</xm:f>
              </x14:cfvo>
              <x14:cfvo type="num">
                <xm:f>1</xm:f>
              </x14:cfvo>
              <x14:negativeFillColor rgb="FFFF0000"/>
              <x14:axisColor rgb="FF000000"/>
            </x14:dataBar>
          </x14:cfRule>
          <xm:sqref>D237</xm:sqref>
        </x14:conditionalFormatting>
        <x14:conditionalFormatting xmlns:xm="http://schemas.microsoft.com/office/excel/2006/main">
          <x14:cfRule type="dataBar" id="{5B57FA74-CC2E-4542-941A-D2603D253746}">
            <x14:dataBar minLength="0" maxLength="100" gradient="0">
              <x14:cfvo type="num">
                <xm:f>0</xm:f>
              </x14:cfvo>
              <x14:cfvo type="num">
                <xm:f>1</xm:f>
              </x14:cfvo>
              <x14:negativeFillColor rgb="FFFF0000"/>
              <x14:axisColor rgb="FF000000"/>
            </x14:dataBar>
          </x14:cfRule>
          <xm:sqref>D197</xm:sqref>
        </x14:conditionalFormatting>
        <x14:conditionalFormatting xmlns:xm="http://schemas.microsoft.com/office/excel/2006/main">
          <x14:cfRule type="dataBar" id="{A680E63F-DDB6-40F1-A2BA-C67BF3A08ACE}">
            <x14:dataBar minLength="0" maxLength="100" gradient="0">
              <x14:cfvo type="num">
                <xm:f>0</xm:f>
              </x14:cfvo>
              <x14:cfvo type="num">
                <xm:f>1</xm:f>
              </x14:cfvo>
              <x14:negativeFillColor rgb="FFFF0000"/>
              <x14:axisColor rgb="FF000000"/>
            </x14:dataBar>
          </x14:cfRule>
          <xm:sqref>D201</xm:sqref>
        </x14:conditionalFormatting>
        <x14:conditionalFormatting xmlns:xm="http://schemas.microsoft.com/office/excel/2006/main">
          <x14:cfRule type="dataBar" id="{0B4BA7EF-6FEF-45F5-A982-4F312349D8F1}">
            <x14:dataBar minLength="0" maxLength="100" gradient="0">
              <x14:cfvo type="num">
                <xm:f>0</xm:f>
              </x14:cfvo>
              <x14:cfvo type="num">
                <xm:f>1</xm:f>
              </x14:cfvo>
              <x14:negativeFillColor rgb="FFFF0000"/>
              <x14:axisColor rgb="FF000000"/>
            </x14:dataBar>
          </x14:cfRule>
          <xm:sqref>D199</xm:sqref>
        </x14:conditionalFormatting>
        <x14:conditionalFormatting xmlns:xm="http://schemas.microsoft.com/office/excel/2006/main">
          <x14:cfRule type="dataBar" id="{66230D85-0384-43D7-9485-1C7E53608792}">
            <x14:dataBar minLength="0" maxLength="100" gradient="0">
              <x14:cfvo type="num">
                <xm:f>0</xm:f>
              </x14:cfvo>
              <x14:cfvo type="num">
                <xm:f>1</xm:f>
              </x14:cfvo>
              <x14:negativeFillColor rgb="FFFF0000"/>
              <x14:axisColor rgb="FF000000"/>
            </x14:dataBar>
          </x14:cfRule>
          <xm:sqref>D195</xm:sqref>
        </x14:conditionalFormatting>
        <x14:conditionalFormatting xmlns:xm="http://schemas.microsoft.com/office/excel/2006/main">
          <x14:cfRule type="dataBar" id="{35848030-B8EC-40E0-ACFB-2EE6DD0EDF36}">
            <x14:dataBar minLength="0" maxLength="100" gradient="0">
              <x14:cfvo type="num">
                <xm:f>0</xm:f>
              </x14:cfvo>
              <x14:cfvo type="num">
                <xm:f>1</xm:f>
              </x14:cfvo>
              <x14:negativeFillColor rgb="FFFF0000"/>
              <x14:axisColor rgb="FF000000"/>
            </x14:dataBar>
          </x14:cfRule>
          <xm:sqref>D196</xm:sqref>
        </x14:conditionalFormatting>
        <x14:conditionalFormatting xmlns:xm="http://schemas.microsoft.com/office/excel/2006/main">
          <x14:cfRule type="dataBar" id="{11E007A6-4875-49DC-8CD1-FBC12859FE10}">
            <x14:dataBar minLength="0" maxLength="100" gradient="0">
              <x14:cfvo type="num">
                <xm:f>0</xm:f>
              </x14:cfvo>
              <x14:cfvo type="num">
                <xm:f>1</xm:f>
              </x14:cfvo>
              <x14:negativeFillColor rgb="FFFF0000"/>
              <x14:axisColor rgb="FF000000"/>
            </x14:dataBar>
          </x14:cfRule>
          <xm:sqref>D191:D194</xm:sqref>
        </x14:conditionalFormatting>
        <x14:conditionalFormatting xmlns:xm="http://schemas.microsoft.com/office/excel/2006/main">
          <x14:cfRule type="dataBar" id="{9280EF7F-B2E7-4314-B579-3CE1CC1AF02C}">
            <x14:dataBar minLength="0" maxLength="100" gradient="0">
              <x14:cfvo type="num">
                <xm:f>0</xm:f>
              </x14:cfvo>
              <x14:cfvo type="num">
                <xm:f>1</xm:f>
              </x14:cfvo>
              <x14:negativeFillColor rgb="FFFF0000"/>
              <x14:axisColor rgb="FF000000"/>
            </x14:dataBar>
          </x14:cfRule>
          <xm:sqref>D212</xm:sqref>
        </x14:conditionalFormatting>
        <x14:conditionalFormatting xmlns:xm="http://schemas.microsoft.com/office/excel/2006/main">
          <x14:cfRule type="dataBar" id="{0B57CBEA-25E2-4F14-807C-DA63D66C5F58}">
            <x14:dataBar minLength="0" maxLength="100" gradient="0">
              <x14:cfvo type="num">
                <xm:f>0</xm:f>
              </x14:cfvo>
              <x14:cfvo type="num">
                <xm:f>1</xm:f>
              </x14:cfvo>
              <x14:negativeFillColor rgb="FFFF0000"/>
              <x14:axisColor rgb="FF000000"/>
            </x14:dataBar>
          </x14:cfRule>
          <xm:sqref>D215</xm:sqref>
        </x14:conditionalFormatting>
        <x14:conditionalFormatting xmlns:xm="http://schemas.microsoft.com/office/excel/2006/main">
          <x14:cfRule type="dataBar" id="{92E333B8-8FA2-436F-B69F-85DA095FA1FE}">
            <x14:dataBar minLength="0" maxLength="100" gradient="0">
              <x14:cfvo type="num">
                <xm:f>0</xm:f>
              </x14:cfvo>
              <x14:cfvo type="num">
                <xm:f>1</xm:f>
              </x14:cfvo>
              <x14:negativeFillColor rgb="FFFF0000"/>
              <x14:axisColor rgb="FF000000"/>
            </x14:dataBar>
          </x14:cfRule>
          <xm:sqref>D221</xm:sqref>
        </x14:conditionalFormatting>
        <x14:conditionalFormatting xmlns:xm="http://schemas.microsoft.com/office/excel/2006/main">
          <x14:cfRule type="dataBar" id="{042406B0-796A-4107-B232-10EAF100274C}">
            <x14:dataBar minLength="0" maxLength="100" gradient="0">
              <x14:cfvo type="num">
                <xm:f>0</xm:f>
              </x14:cfvo>
              <x14:cfvo type="num">
                <xm:f>1</xm:f>
              </x14:cfvo>
              <x14:negativeFillColor rgb="FFFF0000"/>
              <x14:axisColor rgb="FF000000"/>
            </x14:dataBar>
          </x14:cfRule>
          <xm:sqref>D219</xm:sqref>
        </x14:conditionalFormatting>
        <x14:conditionalFormatting xmlns:xm="http://schemas.microsoft.com/office/excel/2006/main">
          <x14:cfRule type="dataBar" id="{6E27B835-DC03-4347-B588-E90E62429F04}">
            <x14:dataBar minLength="0" maxLength="100" gradient="0">
              <x14:cfvo type="num">
                <xm:f>0</xm:f>
              </x14:cfvo>
              <x14:cfvo type="num">
                <xm:f>1</xm:f>
              </x14:cfvo>
              <x14:negativeFillColor rgb="FFFF0000"/>
              <x14:axisColor rgb="FF000000"/>
            </x14:dataBar>
          </x14:cfRule>
          <xm:sqref>D240</xm:sqref>
        </x14:conditionalFormatting>
        <x14:conditionalFormatting xmlns:xm="http://schemas.microsoft.com/office/excel/2006/main">
          <x14:cfRule type="dataBar" id="{D1A35447-676B-4596-A096-779735A613D4}">
            <x14:dataBar minLength="0" maxLength="100" gradient="0">
              <x14:cfvo type="num">
                <xm:f>0</xm:f>
              </x14:cfvo>
              <x14:cfvo type="num">
                <xm:f>1</xm:f>
              </x14:cfvo>
              <x14:negativeFillColor rgb="FFFF0000"/>
              <x14:axisColor rgb="FF000000"/>
            </x14:dataBar>
          </x14:cfRule>
          <xm:sqref>D213:D214</xm:sqref>
        </x14:conditionalFormatting>
        <x14:conditionalFormatting xmlns:xm="http://schemas.microsoft.com/office/excel/2006/main">
          <x14:cfRule type="dataBar" id="{7BDDD66C-30B2-4DA3-A43D-A7E4A320C542}">
            <x14:dataBar minLength="0" maxLength="100" gradient="0">
              <x14:cfvo type="num">
                <xm:f>0</xm:f>
              </x14:cfvo>
              <x14:cfvo type="num">
                <xm:f>1</xm:f>
              </x14:cfvo>
              <x14:negativeFillColor rgb="FFFF0000"/>
              <x14:axisColor rgb="FF000000"/>
            </x14:dataBar>
          </x14:cfRule>
          <xm:sqref>D216</xm:sqref>
        </x14:conditionalFormatting>
        <x14:conditionalFormatting xmlns:xm="http://schemas.microsoft.com/office/excel/2006/main">
          <x14:cfRule type="dataBar" id="{FE67A755-89C1-41BB-AD31-1623B65B8F2B}">
            <x14:dataBar minLength="0" maxLength="100" gradient="0">
              <x14:cfvo type="num">
                <xm:f>0</xm:f>
              </x14:cfvo>
              <x14:cfvo type="num">
                <xm:f>1</xm:f>
              </x14:cfvo>
              <x14:negativeFillColor rgb="FFFF0000"/>
              <x14:axisColor rgb="FF000000"/>
            </x14:dataBar>
          </x14:cfRule>
          <xm:sqref>D217</xm:sqref>
        </x14:conditionalFormatting>
        <x14:conditionalFormatting xmlns:xm="http://schemas.microsoft.com/office/excel/2006/main">
          <x14:cfRule type="dataBar" id="{7A0204D0-565F-434C-8282-CB4ECC349795}">
            <x14:dataBar minLength="0" maxLength="100" gradient="0">
              <x14:cfvo type="num">
                <xm:f>0</xm:f>
              </x14:cfvo>
              <x14:cfvo type="num">
                <xm:f>1</xm:f>
              </x14:cfvo>
              <x14:negativeFillColor rgb="FFFF0000"/>
              <x14:axisColor rgb="FF000000"/>
            </x14:dataBar>
          </x14:cfRule>
          <xm:sqref>D211</xm:sqref>
        </x14:conditionalFormatting>
        <x14:conditionalFormatting xmlns:xm="http://schemas.microsoft.com/office/excel/2006/main">
          <x14:cfRule type="dataBar" id="{FC8D5B2C-FB11-4CB6-931F-E6D8FEAD04F6}">
            <x14:dataBar minLength="0" maxLength="100" gradient="0">
              <x14:cfvo type="num">
                <xm:f>0</xm:f>
              </x14:cfvo>
              <x14:cfvo type="num">
                <xm:f>1</xm:f>
              </x14:cfvo>
              <x14:negativeFillColor rgb="FFFF0000"/>
              <x14:axisColor rgb="FF000000"/>
            </x14:dataBar>
          </x14:cfRule>
          <xm:sqref>D238</xm:sqref>
        </x14:conditionalFormatting>
        <x14:conditionalFormatting xmlns:xm="http://schemas.microsoft.com/office/excel/2006/main">
          <x14:cfRule type="dataBar" id="{F33C3893-5198-4677-995A-1981551841EC}">
            <x14:dataBar minLength="0" maxLength="100" gradient="0">
              <x14:cfvo type="num">
                <xm:f>0</xm:f>
              </x14:cfvo>
              <x14:cfvo type="num">
                <xm:f>1</xm:f>
              </x14:cfvo>
              <x14:negativeFillColor rgb="FFFF0000"/>
              <x14:axisColor rgb="FF000000"/>
            </x14:dataBar>
          </x14:cfRule>
          <xm:sqref>D230</xm:sqref>
        </x14:conditionalFormatting>
        <x14:conditionalFormatting xmlns:xm="http://schemas.microsoft.com/office/excel/2006/main">
          <x14:cfRule type="dataBar" id="{1F450134-EAD0-422B-8B02-2DD16300FC1A}">
            <x14:dataBar minLength="0" maxLength="100" gradient="0">
              <x14:cfvo type="num">
                <xm:f>0</xm:f>
              </x14:cfvo>
              <x14:cfvo type="num">
                <xm:f>1</xm:f>
              </x14:cfvo>
              <x14:negativeFillColor rgb="FFFF0000"/>
              <x14:axisColor rgb="FF000000"/>
            </x14:dataBar>
          </x14:cfRule>
          <xm:sqref>D218</xm:sqref>
        </x14:conditionalFormatting>
        <x14:conditionalFormatting xmlns:xm="http://schemas.microsoft.com/office/excel/2006/main">
          <x14:cfRule type="dataBar" id="{53EDC7EB-FBA1-4BA7-A8AD-BED9B4FB225E}">
            <x14:dataBar minLength="0" maxLength="100" gradient="0">
              <x14:cfvo type="num">
                <xm:f>0</xm:f>
              </x14:cfvo>
              <x14:cfvo type="num">
                <xm:f>1</xm:f>
              </x14:cfvo>
              <x14:negativeFillColor rgb="FFFF0000"/>
              <x14:axisColor rgb="FF000000"/>
            </x14:dataBar>
          </x14:cfRule>
          <xm:sqref>D228:D229</xm:sqref>
        </x14:conditionalFormatting>
        <x14:conditionalFormatting xmlns:xm="http://schemas.microsoft.com/office/excel/2006/main">
          <x14:cfRule type="dataBar" id="{4B8617BE-8CE0-4DB0-BD32-CCDA47B33C5F}">
            <x14:dataBar minLength="0" maxLength="100" gradient="0">
              <x14:cfvo type="num">
                <xm:f>0</xm:f>
              </x14:cfvo>
              <x14:cfvo type="num">
                <xm:f>1</xm:f>
              </x14:cfvo>
              <x14:negativeFillColor rgb="FFFF0000"/>
              <x14:axisColor rgb="FF000000"/>
            </x14:dataBar>
          </x14:cfRule>
          <xm:sqref>D227</xm:sqref>
        </x14:conditionalFormatting>
        <x14:conditionalFormatting xmlns:xm="http://schemas.microsoft.com/office/excel/2006/main">
          <x14:cfRule type="dataBar" id="{B8F64950-95CC-4BB2-A406-AD998F407297}">
            <x14:dataBar minLength="0" maxLength="100" gradient="0">
              <x14:cfvo type="num">
                <xm:f>0</xm:f>
              </x14:cfvo>
              <x14:cfvo type="num">
                <xm:f>1</xm:f>
              </x14:cfvo>
              <x14:negativeFillColor rgb="FFFF0000"/>
              <x14:axisColor rgb="FF000000"/>
            </x14:dataBar>
          </x14:cfRule>
          <xm:sqref>D220</xm:sqref>
        </x14:conditionalFormatting>
        <x14:conditionalFormatting xmlns:xm="http://schemas.microsoft.com/office/excel/2006/main">
          <x14:cfRule type="dataBar" id="{87B9C752-1EB1-4A5D-A8B7-219B50E1BC1D}">
            <x14:dataBar minLength="0" maxLength="100" gradient="0">
              <x14:cfvo type="num">
                <xm:f>0</xm:f>
              </x14:cfvo>
              <x14:cfvo type="num">
                <xm:f>1</xm:f>
              </x14:cfvo>
              <x14:negativeFillColor rgb="FFFF0000"/>
              <x14:axisColor rgb="FF000000"/>
            </x14:dataBar>
          </x14:cfRule>
          <xm:sqref>D241</xm:sqref>
        </x14:conditionalFormatting>
        <x14:conditionalFormatting xmlns:xm="http://schemas.microsoft.com/office/excel/2006/main">
          <x14:cfRule type="dataBar" id="{92F538BA-52CB-4847-85A6-9C63AB87CC21}">
            <x14:dataBar minLength="0" maxLength="100" gradient="0">
              <x14:cfvo type="num">
                <xm:f>0</xm:f>
              </x14:cfvo>
              <x14:cfvo type="num">
                <xm:f>1</xm:f>
              </x14:cfvo>
              <x14:negativeFillColor rgb="FFFF0000"/>
              <x14:axisColor rgb="FF000000"/>
            </x14:dataBar>
          </x14:cfRule>
          <xm:sqref>D224</xm:sqref>
        </x14:conditionalFormatting>
        <x14:conditionalFormatting xmlns:xm="http://schemas.microsoft.com/office/excel/2006/main">
          <x14:cfRule type="dataBar" id="{5FB83CAF-5EAF-456F-9A85-E61BECDA1161}">
            <x14:dataBar minLength="0" maxLength="100" gradient="0">
              <x14:cfvo type="num">
                <xm:f>0</xm:f>
              </x14:cfvo>
              <x14:cfvo type="num">
                <xm:f>1</xm:f>
              </x14:cfvo>
              <x14:negativeFillColor rgb="FFFF0000"/>
              <x14:axisColor rgb="FF000000"/>
            </x14:dataBar>
          </x14:cfRule>
          <xm:sqref>D226</xm:sqref>
        </x14:conditionalFormatting>
        <x14:conditionalFormatting xmlns:xm="http://schemas.microsoft.com/office/excel/2006/main">
          <x14:cfRule type="dataBar" id="{574B46C7-18D0-48C6-8C40-83B49EBBEC7E}">
            <x14:dataBar minLength="0" maxLength="100" gradient="0">
              <x14:cfvo type="num">
                <xm:f>0</xm:f>
              </x14:cfvo>
              <x14:cfvo type="num">
                <xm:f>1</xm:f>
              </x14:cfvo>
              <x14:negativeFillColor rgb="FFFF0000"/>
              <x14:axisColor rgb="FF000000"/>
            </x14:dataBar>
          </x14:cfRule>
          <xm:sqref>D245</xm:sqref>
        </x14:conditionalFormatting>
        <x14:conditionalFormatting xmlns:xm="http://schemas.microsoft.com/office/excel/2006/main">
          <x14:cfRule type="dataBar" id="{02F73AFB-DF8B-478A-9084-1B7FCF704175}">
            <x14:dataBar minLength="0" maxLength="100" gradient="0">
              <x14:cfvo type="num">
                <xm:f>0</xm:f>
              </x14:cfvo>
              <x14:cfvo type="num">
                <xm:f>1</xm:f>
              </x14:cfvo>
              <x14:negativeFillColor rgb="FFFF0000"/>
              <x14:axisColor rgb="FF000000"/>
            </x14:dataBar>
          </x14:cfRule>
          <xm:sqref>D239</xm:sqref>
        </x14:conditionalFormatting>
        <x14:conditionalFormatting xmlns:xm="http://schemas.microsoft.com/office/excel/2006/main">
          <x14:cfRule type="dataBar" id="{448DD524-AB9E-4201-837B-FD93295D9185}">
            <x14:dataBar minLength="0" maxLength="100" gradient="0">
              <x14:cfvo type="num">
                <xm:f>0</xm:f>
              </x14:cfvo>
              <x14:cfvo type="num">
                <xm:f>1</xm:f>
              </x14:cfvo>
              <x14:negativeFillColor rgb="FFFF0000"/>
              <x14:axisColor rgb="FF000000"/>
            </x14:dataBar>
          </x14:cfRule>
          <xm:sqref>D250</xm:sqref>
        </x14:conditionalFormatting>
        <x14:conditionalFormatting xmlns:xm="http://schemas.microsoft.com/office/excel/2006/main">
          <x14:cfRule type="dataBar" id="{1C55E6E0-78F3-4FB4-A0D7-6559957C1137}">
            <x14:dataBar minLength="0" maxLength="100" gradient="0">
              <x14:cfvo type="num">
                <xm:f>0</xm:f>
              </x14:cfvo>
              <x14:cfvo type="num">
                <xm:f>1</xm:f>
              </x14:cfvo>
              <x14:negativeFillColor rgb="FFFF0000"/>
              <x14:axisColor rgb="FF000000"/>
            </x14:dataBar>
          </x14:cfRule>
          <xm:sqref>D231</xm:sqref>
        </x14:conditionalFormatting>
        <x14:conditionalFormatting xmlns:xm="http://schemas.microsoft.com/office/excel/2006/main">
          <x14:cfRule type="dataBar" id="{0668245E-CBF8-4DC6-BF62-D90EB12C4926}">
            <x14:dataBar minLength="0" maxLength="100" gradient="0">
              <x14:cfvo type="num">
                <xm:f>0</xm:f>
              </x14:cfvo>
              <x14:cfvo type="num">
                <xm:f>1</xm:f>
              </x14:cfvo>
              <x14:negativeFillColor rgb="FFFF0000"/>
              <x14:axisColor rgb="FF000000"/>
            </x14:dataBar>
          </x14:cfRule>
          <xm:sqref>D244</xm:sqref>
        </x14:conditionalFormatting>
        <x14:conditionalFormatting xmlns:xm="http://schemas.microsoft.com/office/excel/2006/main">
          <x14:cfRule type="dataBar" id="{20EEEEC6-A4CB-495C-AD16-7F59E26D94C3}">
            <x14:dataBar minLength="0" maxLength="100" gradient="0">
              <x14:cfvo type="num">
                <xm:f>0</xm:f>
              </x14:cfvo>
              <x14:cfvo type="num">
                <xm:f>1</xm:f>
              </x14:cfvo>
              <x14:negativeFillColor rgb="FFFF0000"/>
              <x14:axisColor rgb="FF000000"/>
            </x14:dataBar>
          </x14:cfRule>
          <xm:sqref>D249</xm:sqref>
        </x14:conditionalFormatting>
        <x14:conditionalFormatting xmlns:xm="http://schemas.microsoft.com/office/excel/2006/main">
          <x14:cfRule type="dataBar" id="{8812DF89-915E-41AC-B459-64F494BB2404}">
            <x14:dataBar minLength="0" maxLength="100" gradient="0">
              <x14:cfvo type="num">
                <xm:f>0</xm:f>
              </x14:cfvo>
              <x14:cfvo type="num">
                <xm:f>1</xm:f>
              </x14:cfvo>
              <x14:negativeFillColor rgb="FFFF0000"/>
              <x14:axisColor rgb="FF000000"/>
            </x14:dataBar>
          </x14:cfRule>
          <xm:sqref>D236</xm:sqref>
        </x14:conditionalFormatting>
        <x14:conditionalFormatting xmlns:xm="http://schemas.microsoft.com/office/excel/2006/main">
          <x14:cfRule type="dataBar" id="{F5EFCCE2-27FA-4237-BE02-35D5E7441715}">
            <x14:dataBar minLength="0" maxLength="100" gradient="0">
              <x14:cfvo type="num">
                <xm:f>0</xm:f>
              </x14:cfvo>
              <x14:cfvo type="num">
                <xm:f>1</xm:f>
              </x14:cfvo>
              <x14:negativeFillColor rgb="FFFF0000"/>
              <x14:axisColor rgb="FF000000"/>
            </x14:dataBar>
          </x14:cfRule>
          <xm:sqref>D247</xm:sqref>
        </x14:conditionalFormatting>
        <x14:conditionalFormatting xmlns:xm="http://schemas.microsoft.com/office/excel/2006/main">
          <x14:cfRule type="dataBar" id="{E5DFE96F-4E3C-4425-A825-3D70A61EC8B4}">
            <x14:dataBar minLength="0" maxLength="100" gradient="0">
              <x14:cfvo type="num">
                <xm:f>0</xm:f>
              </x14:cfvo>
              <x14:cfvo type="num">
                <xm:f>1</xm:f>
              </x14:cfvo>
              <x14:negativeFillColor rgb="FFFF0000"/>
              <x14:axisColor rgb="FF000000"/>
            </x14:dataBar>
          </x14:cfRule>
          <xm:sqref>D223</xm:sqref>
        </x14:conditionalFormatting>
        <x14:conditionalFormatting xmlns:xm="http://schemas.microsoft.com/office/excel/2006/main">
          <x14:cfRule type="dataBar" id="{EEC0E085-DF91-463E-A4AE-BEB417373999}">
            <x14:dataBar minLength="0" maxLength="100" gradient="0">
              <x14:cfvo type="num">
                <xm:f>0</xm:f>
              </x14:cfvo>
              <x14:cfvo type="num">
                <xm:f>1</xm:f>
              </x14:cfvo>
              <x14:negativeFillColor rgb="FFFF0000"/>
              <x14:axisColor rgb="FF000000"/>
            </x14:dataBar>
          </x14:cfRule>
          <xm:sqref>D225</xm:sqref>
        </x14:conditionalFormatting>
        <x14:conditionalFormatting xmlns:xm="http://schemas.microsoft.com/office/excel/2006/main">
          <x14:cfRule type="dataBar" id="{9D71BEF4-6EFF-4D61-A707-31588B769210}">
            <x14:dataBar minLength="0" maxLength="100" gradient="0">
              <x14:cfvo type="num">
                <xm:f>0</xm:f>
              </x14:cfvo>
              <x14:cfvo type="num">
                <xm:f>1</xm:f>
              </x14:cfvo>
              <x14:negativeFillColor rgb="FFFF0000"/>
              <x14:axisColor rgb="FF000000"/>
            </x14:dataBar>
          </x14:cfRule>
          <xm:sqref>D222</xm:sqref>
        </x14:conditionalFormatting>
        <x14:conditionalFormatting xmlns:xm="http://schemas.microsoft.com/office/excel/2006/main">
          <x14:cfRule type="dataBar" id="{AC162C51-E165-4A1D-A4EC-62BFE4B4F5D7}">
            <x14:dataBar minLength="0" maxLength="100" gradient="0">
              <x14:cfvo type="num">
                <xm:f>0</xm:f>
              </x14:cfvo>
              <x14:cfvo type="num">
                <xm:f>1</xm:f>
              </x14:cfvo>
              <x14:negativeFillColor rgb="FFFF0000"/>
              <x14:axisColor rgb="FF000000"/>
            </x14:dataBar>
          </x14:cfRule>
          <xm:sqref>D246</xm:sqref>
        </x14:conditionalFormatting>
        <x14:conditionalFormatting xmlns:xm="http://schemas.microsoft.com/office/excel/2006/main">
          <x14:cfRule type="dataBar" id="{3AC58E67-D407-4CBE-993E-8742C67BD46A}">
            <x14:dataBar minLength="0" maxLength="100" gradient="0">
              <x14:cfvo type="num">
                <xm:f>0</xm:f>
              </x14:cfvo>
              <x14:cfvo type="num">
                <xm:f>1</xm:f>
              </x14:cfvo>
              <x14:negativeFillColor rgb="FFFF0000"/>
              <x14:axisColor rgb="FF000000"/>
            </x14:dataBar>
          </x14:cfRule>
          <xm:sqref>D248</xm:sqref>
        </x14:conditionalFormatting>
        <x14:conditionalFormatting xmlns:xm="http://schemas.microsoft.com/office/excel/2006/main">
          <x14:cfRule type="dataBar" id="{B678FD35-D9F3-43D8-A38B-D3021305B6C5}">
            <x14:dataBar minLength="0" maxLength="100" gradient="0">
              <x14:cfvo type="num">
                <xm:f>0</xm:f>
              </x14:cfvo>
              <x14:cfvo type="num">
                <xm:f>1</xm:f>
              </x14:cfvo>
              <x14:negativeFillColor rgb="FFFF0000"/>
              <x14:axisColor rgb="FF000000"/>
            </x14:dataBar>
          </x14:cfRule>
          <xm:sqref>D252</xm:sqref>
        </x14:conditionalFormatting>
        <x14:conditionalFormatting xmlns:xm="http://schemas.microsoft.com/office/excel/2006/main">
          <x14:cfRule type="dataBar" id="{788140DF-D0FB-4CB0-A7F9-38D87E1D1E66}">
            <x14:dataBar minLength="0" maxLength="100" gradient="0">
              <x14:cfvo type="num">
                <xm:f>0</xm:f>
              </x14:cfvo>
              <x14:cfvo type="num">
                <xm:f>1</xm:f>
              </x14:cfvo>
              <x14:negativeFillColor rgb="FFFF0000"/>
              <x14:axisColor rgb="FF000000"/>
            </x14:dataBar>
          </x14:cfRule>
          <xm:sqref>D272</xm:sqref>
        </x14:conditionalFormatting>
        <x14:conditionalFormatting xmlns:xm="http://schemas.microsoft.com/office/excel/2006/main">
          <x14:cfRule type="dataBar" id="{D99D2553-B4BC-43CB-9A9F-192CD68BBA5F}">
            <x14:dataBar minLength="0" maxLength="100" gradient="0">
              <x14:cfvo type="num">
                <xm:f>0</xm:f>
              </x14:cfvo>
              <x14:cfvo type="num">
                <xm:f>1</xm:f>
              </x14:cfvo>
              <x14:negativeFillColor rgb="FFFF0000"/>
              <x14:axisColor rgb="FF000000"/>
            </x14:dataBar>
          </x14:cfRule>
          <xm:sqref>D253</xm:sqref>
        </x14:conditionalFormatting>
        <x14:conditionalFormatting xmlns:xm="http://schemas.microsoft.com/office/excel/2006/main">
          <x14:cfRule type="dataBar" id="{17C2049A-82D4-42F9-9283-E4C21FE58482}">
            <x14:dataBar minLength="0" maxLength="100" gradient="0">
              <x14:cfvo type="num">
                <xm:f>0</xm:f>
              </x14:cfvo>
              <x14:cfvo type="num">
                <xm:f>1</xm:f>
              </x14:cfvo>
              <x14:negativeFillColor rgb="FFFF0000"/>
              <x14:axisColor rgb="FF000000"/>
            </x14:dataBar>
          </x14:cfRule>
          <xm:sqref>D235</xm:sqref>
        </x14:conditionalFormatting>
        <x14:conditionalFormatting xmlns:xm="http://schemas.microsoft.com/office/excel/2006/main">
          <x14:cfRule type="dataBar" id="{EAF3F988-C46B-403B-A618-A3A900F3BA92}">
            <x14:dataBar minLength="0" maxLength="100" gradient="0">
              <x14:cfvo type="num">
                <xm:f>0</xm:f>
              </x14:cfvo>
              <x14:cfvo type="num">
                <xm:f>1</xm:f>
              </x14:cfvo>
              <x14:negativeFillColor rgb="FFFF0000"/>
              <x14:axisColor rgb="FF000000"/>
            </x14:dataBar>
          </x14:cfRule>
          <xm:sqref>D234</xm:sqref>
        </x14:conditionalFormatting>
        <x14:conditionalFormatting xmlns:xm="http://schemas.microsoft.com/office/excel/2006/main">
          <x14:cfRule type="dataBar" id="{2027B172-4578-4C6D-A1A8-35A85A559B4F}">
            <x14:dataBar minLength="0" maxLength="100" gradient="0">
              <x14:cfvo type="num">
                <xm:f>0</xm:f>
              </x14:cfvo>
              <x14:cfvo type="num">
                <xm:f>1</xm:f>
              </x14:cfvo>
              <x14:negativeFillColor rgb="FFFF0000"/>
              <x14:axisColor rgb="FF000000"/>
            </x14:dataBar>
          </x14:cfRule>
          <xm:sqref>D233</xm:sqref>
        </x14:conditionalFormatting>
        <x14:conditionalFormatting xmlns:xm="http://schemas.microsoft.com/office/excel/2006/main">
          <x14:cfRule type="dataBar" id="{5C37794D-8128-486A-944E-DCE92DFDC2BB}">
            <x14:dataBar minLength="0" maxLength="100" gradient="0">
              <x14:cfvo type="num">
                <xm:f>0</xm:f>
              </x14:cfvo>
              <x14:cfvo type="num">
                <xm:f>1</xm:f>
              </x14:cfvo>
              <x14:negativeFillColor rgb="FFFF0000"/>
              <x14:axisColor rgb="FF000000"/>
            </x14:dataBar>
          </x14:cfRule>
          <xm:sqref>D232</xm:sqref>
        </x14:conditionalFormatting>
        <x14:conditionalFormatting xmlns:xm="http://schemas.microsoft.com/office/excel/2006/main">
          <x14:cfRule type="dataBar" id="{8824F219-A4DD-4C3E-93E6-DAB2448C5D31}">
            <x14:dataBar minLength="0" maxLength="100" gradient="0">
              <x14:cfvo type="num">
                <xm:f>0</xm:f>
              </x14:cfvo>
              <x14:cfvo type="num">
                <xm:f>1</xm:f>
              </x14:cfvo>
              <x14:negativeFillColor rgb="FFFF0000"/>
              <x14:axisColor rgb="FF000000"/>
            </x14:dataBar>
          </x14:cfRule>
          <xm:sqref>D251</xm:sqref>
        </x14:conditionalFormatting>
        <x14:conditionalFormatting xmlns:xm="http://schemas.microsoft.com/office/excel/2006/main">
          <x14:cfRule type="dataBar" id="{1C93DA02-DB91-4C51-ABB3-49F2CF6C8990}">
            <x14:dataBar minLength="0" maxLength="100" gradient="0">
              <x14:cfvo type="num">
                <xm:f>0</xm:f>
              </x14:cfvo>
              <x14:cfvo type="num">
                <xm:f>1</xm:f>
              </x14:cfvo>
              <x14:negativeFillColor rgb="FFFF0000"/>
              <x14:axisColor rgb="FF000000"/>
            </x14:dataBar>
          </x14:cfRule>
          <xm:sqref>D270</xm:sqref>
        </x14:conditionalFormatting>
        <x14:conditionalFormatting xmlns:xm="http://schemas.microsoft.com/office/excel/2006/main">
          <x14:cfRule type="dataBar" id="{556243AF-0F63-4367-BD0B-E7AE2FB2F18D}">
            <x14:dataBar minLength="0" maxLength="100" gradient="0">
              <x14:cfvo type="num">
                <xm:f>0</xm:f>
              </x14:cfvo>
              <x14:cfvo type="num">
                <xm:f>1</xm:f>
              </x14:cfvo>
              <x14:negativeFillColor rgb="FFFF0000"/>
              <x14:axisColor rgb="FF000000"/>
            </x14:dataBar>
          </x14:cfRule>
          <xm:sqref>D261:D262</xm:sqref>
        </x14:conditionalFormatting>
        <x14:conditionalFormatting xmlns:xm="http://schemas.microsoft.com/office/excel/2006/main">
          <x14:cfRule type="dataBar" id="{6756CA2F-B5CC-4373-A94B-FE33B342C765}">
            <x14:dataBar minLength="0" maxLength="100" gradient="0">
              <x14:cfvo type="num">
                <xm:f>0</xm:f>
              </x14:cfvo>
              <x14:cfvo type="num">
                <xm:f>1</xm:f>
              </x14:cfvo>
              <x14:negativeFillColor rgb="FFFF0000"/>
              <x14:axisColor rgb="FF000000"/>
            </x14:dataBar>
          </x14:cfRule>
          <xm:sqref>D271</xm:sqref>
        </x14:conditionalFormatting>
        <x14:conditionalFormatting xmlns:xm="http://schemas.microsoft.com/office/excel/2006/main">
          <x14:cfRule type="dataBar" id="{70322B90-4F6B-4307-A4FD-ED763DCF9CA4}">
            <x14:dataBar minLength="0" maxLength="100" gradient="0">
              <x14:cfvo type="num">
                <xm:f>0</xm:f>
              </x14:cfvo>
              <x14:cfvo type="num">
                <xm:f>1</xm:f>
              </x14:cfvo>
              <x14:negativeFillColor rgb="FFFF0000"/>
              <x14:axisColor rgb="FF000000"/>
            </x14:dataBar>
          </x14:cfRule>
          <xm:sqref>D257</xm:sqref>
        </x14:conditionalFormatting>
        <x14:conditionalFormatting xmlns:xm="http://schemas.microsoft.com/office/excel/2006/main">
          <x14:cfRule type="dataBar" id="{CEEC286F-540D-43B2-BA03-CC2D96B12229}">
            <x14:dataBar minLength="0" maxLength="100" gradient="0">
              <x14:cfvo type="num">
                <xm:f>0</xm:f>
              </x14:cfvo>
              <x14:cfvo type="num">
                <xm:f>1</xm:f>
              </x14:cfvo>
              <x14:negativeFillColor rgb="FFFF0000"/>
              <x14:axisColor rgb="FF000000"/>
            </x14:dataBar>
          </x14:cfRule>
          <xm:sqref>D255:D256</xm:sqref>
        </x14:conditionalFormatting>
        <x14:conditionalFormatting xmlns:xm="http://schemas.microsoft.com/office/excel/2006/main">
          <x14:cfRule type="dataBar" id="{3AF89674-9BD5-4CF0-BB2B-020139AB45A0}">
            <x14:dataBar minLength="0" maxLength="100" gradient="0">
              <x14:cfvo type="num">
                <xm:f>0</xm:f>
              </x14:cfvo>
              <x14:cfvo type="num">
                <xm:f>1</xm:f>
              </x14:cfvo>
              <x14:negativeFillColor rgb="FFFF0000"/>
              <x14:axisColor rgb="FF000000"/>
            </x14:dataBar>
          </x14:cfRule>
          <xm:sqref>D258:D260</xm:sqref>
        </x14:conditionalFormatting>
        <x14:conditionalFormatting xmlns:xm="http://schemas.microsoft.com/office/excel/2006/main">
          <x14:cfRule type="dataBar" id="{D0792273-4AC8-44BC-BC1A-1B7F7951A3B1}">
            <x14:dataBar minLength="0" maxLength="100" gradient="0">
              <x14:cfvo type="num">
                <xm:f>0</xm:f>
              </x14:cfvo>
              <x14:cfvo type="num">
                <xm:f>1</xm:f>
              </x14:cfvo>
              <x14:negativeFillColor rgb="FFFF0000"/>
              <x14:axisColor rgb="FF000000"/>
            </x14:dataBar>
          </x14:cfRule>
          <xm:sqref>D254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13" zoomScaleNormal="100" workbookViewId="0"/>
  </sheetViews>
  <sheetFormatPr defaultColWidth="9" defaultRowHeight="14.4" x14ac:dyDescent="0.3"/>
  <cols>
    <col min="1" max="1" width="87" style="44" customWidth="1"/>
    <col min="2" max="16384" width="9" style="45"/>
  </cols>
  <sheetData>
    <row r="1" spans="1:2" ht="46.5" customHeight="1" x14ac:dyDescent="0.3"/>
    <row r="2" spans="1:2" s="47" customFormat="1" ht="16.2" x14ac:dyDescent="0.3">
      <c r="A2" s="46" t="s">
        <v>22</v>
      </c>
      <c r="B2" s="46"/>
    </row>
    <row r="3" spans="1:2" s="50" customFormat="1" ht="27" customHeight="1" x14ac:dyDescent="0.3">
      <c r="A3" s="48" t="s">
        <v>23</v>
      </c>
      <c r="B3" s="49"/>
    </row>
    <row r="4" spans="1:2" s="52" customFormat="1" ht="27" x14ac:dyDescent="0.5">
      <c r="A4" s="51" t="s">
        <v>24</v>
      </c>
    </row>
    <row r="5" spans="1:2" ht="61.5" customHeight="1" x14ac:dyDescent="0.3">
      <c r="A5" s="53" t="s">
        <v>25</v>
      </c>
    </row>
    <row r="6" spans="1:2" ht="26.25" customHeight="1" x14ac:dyDescent="0.3">
      <c r="A6" s="51" t="s">
        <v>26</v>
      </c>
    </row>
    <row r="7" spans="1:2" s="44" customFormat="1" ht="198" customHeight="1" x14ac:dyDescent="0.3">
      <c r="A7" s="54" t="s">
        <v>37</v>
      </c>
    </row>
    <row r="8" spans="1:2" s="52" customFormat="1" ht="27" x14ac:dyDescent="0.5">
      <c r="A8" s="51" t="s">
        <v>27</v>
      </c>
    </row>
    <row r="9" spans="1:2" ht="45" x14ac:dyDescent="0.3">
      <c r="A9" s="53" t="s">
        <v>28</v>
      </c>
    </row>
    <row r="10" spans="1:2" s="44" customFormat="1" ht="27.9" customHeight="1" x14ac:dyDescent="0.3">
      <c r="A10" s="55" t="s">
        <v>29</v>
      </c>
    </row>
    <row r="11" spans="1:2" s="52" customFormat="1" ht="27" x14ac:dyDescent="0.5">
      <c r="A11" s="51" t="s">
        <v>30</v>
      </c>
    </row>
    <row r="12" spans="1:2" ht="30" x14ac:dyDescent="0.3">
      <c r="A12" s="53" t="s">
        <v>31</v>
      </c>
    </row>
    <row r="13" spans="1:2" s="44" customFormat="1" ht="27.9" customHeight="1" x14ac:dyDescent="0.3">
      <c r="A13" s="55" t="s">
        <v>32</v>
      </c>
    </row>
    <row r="14" spans="1:2" s="52" customFormat="1" ht="27" x14ac:dyDescent="0.5">
      <c r="A14" s="51" t="s">
        <v>33</v>
      </c>
    </row>
    <row r="15" spans="1:2" ht="64.5" customHeight="1" x14ac:dyDescent="0.3">
      <c r="A15" s="53" t="s">
        <v>34</v>
      </c>
    </row>
    <row r="16" spans="1:2" ht="45" x14ac:dyDescent="0.3">
      <c r="A16" s="53" t="s">
        <v>35</v>
      </c>
    </row>
  </sheetData>
  <phoneticPr fontId="29"/>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rowBreaks count="1" manualBreakCount="1">
    <brk id="15" max="1638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2.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6</vt:i4>
      </vt:variant>
    </vt:vector>
  </HeadingPairs>
  <TitlesOfParts>
    <vt:vector size="8" baseType="lpstr">
      <vt:lpstr>プロジェクトのスケジュール</vt:lpstr>
      <vt:lpstr>詳細情報</vt:lpstr>
      <vt:lpstr>プロジェクトのスケジュール!Print_Titles</vt:lpstr>
      <vt:lpstr>プロジェクトのスケジュール!タスク_開始</vt:lpstr>
      <vt:lpstr>プロジェクトのスケジュール!タスク_終了</vt:lpstr>
      <vt:lpstr>プロジェクトのスケジュール!タスク_進捗状況</vt:lpstr>
      <vt:lpstr>プロジェクトの開始</vt:lpstr>
      <vt:lpstr>週表示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2026-10-12T15:59:06Z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